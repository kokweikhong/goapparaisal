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k113O1187\Desktop\"/>
    </mc:Choice>
  </mc:AlternateContent>
  <bookViews>
    <workbookView xWindow="0" yWindow="0" windowWidth="22260" windowHeight="12648" activeTab="1"/>
  </bookViews>
  <sheets>
    <sheet name="Setting Page" sheetId="11" r:id="rId1"/>
    <sheet name="Name List" sheetId="1" r:id="rId2"/>
    <sheet name="Score" sheetId="3" r:id="rId3"/>
    <sheet name="Comment" sheetId="2" r:id="rId4"/>
    <sheet name="CommentPhrase" sheetId="13" r:id="rId5"/>
    <sheet name="PrintPage1" sheetId="7" r:id="rId6"/>
    <sheet name="PrintPage2" sheetId="5" r:id="rId7"/>
    <sheet name="Template1" sheetId="4" r:id="rId8"/>
    <sheet name="Template2" sheetId="6" r:id="rId9"/>
    <sheet name="Template3" sheetId="8" r:id="rId10"/>
    <sheet name="Template4" sheetId="10" r:id="rId11"/>
  </sheets>
  <functionGroups builtInGroupCount="18"/>
  <definedNames>
    <definedName name="_xlnm._FilterDatabase" localSheetId="1" hidden="1">'Name List'!$A$2:$E$2</definedName>
    <definedName name="NameList">'Name List'!$B$3:INDEX('Name List'!$B$3:$B$1000,SUMPRODUCT(--('Name List'!$B$3:$B$1000&lt;&gt;"")))</definedName>
    <definedName name="_xlnm.Print_Area" localSheetId="5">PrintPage1!$A$1:$X$59</definedName>
    <definedName name="_xlnm.Print_Area" localSheetId="6">PrintPage2!$A$1:$X$58</definedName>
    <definedName name="_xlnm.Print_Area" localSheetId="7">Template1!$A$1:$N$53</definedName>
    <definedName name="_xlnm.Print_Area" localSheetId="8">Template2!$B$3:$N$52</definedName>
    <definedName name="_xlnm.Print_Area" localSheetId="9">Template3!$B$3:$P$52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2" i="10" l="1"/>
  <c r="D3" i="2"/>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AI3" i="2"/>
  <c r="AJ3" i="2"/>
  <c r="AK3" i="2"/>
  <c r="AL3" i="2"/>
  <c r="AM3" i="2"/>
  <c r="AN3" i="2"/>
  <c r="AO3" i="2"/>
  <c r="AP3" i="2"/>
  <c r="AQ3" i="2"/>
  <c r="AR3" i="2"/>
  <c r="AS3" i="2"/>
  <c r="AT3" i="2"/>
  <c r="AU3" i="2"/>
  <c r="AV3" i="2"/>
  <c r="AW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CQ3" i="2"/>
  <c r="CR3" i="2"/>
  <c r="CS3" i="2"/>
  <c r="CT3" i="2"/>
  <c r="CU3" i="2"/>
  <c r="CV3" i="2"/>
  <c r="CW3" i="2"/>
  <c r="CX3" i="2"/>
  <c r="CY3" i="2"/>
  <c r="CZ3" i="2"/>
  <c r="DA3" i="2"/>
  <c r="DB3" i="2"/>
  <c r="DC3" i="2"/>
  <c r="DD3" i="2"/>
  <c r="DE3" i="2"/>
  <c r="DF3" i="2"/>
  <c r="DG3" i="2"/>
  <c r="DH3" i="2"/>
  <c r="DI3" i="2"/>
  <c r="DJ3" i="2"/>
  <c r="DK3" i="2"/>
  <c r="DL3" i="2"/>
  <c r="DM3" i="2"/>
  <c r="DN3" i="2"/>
  <c r="DO3" i="2"/>
  <c r="DP3" i="2"/>
  <c r="DQ3" i="2"/>
  <c r="DR3" i="2"/>
  <c r="DS3" i="2"/>
  <c r="DT3" i="2"/>
  <c r="DU3" i="2"/>
  <c r="DV3" i="2"/>
  <c r="DW3" i="2"/>
  <c r="DX3" i="2"/>
  <c r="DY3" i="2"/>
  <c r="DZ3" i="2"/>
  <c r="EA3" i="2"/>
  <c r="EB3" i="2"/>
  <c r="EC3" i="2"/>
  <c r="ED3" i="2"/>
  <c r="EE3" i="2"/>
  <c r="EF3" i="2"/>
  <c r="EG3" i="2"/>
  <c r="EH3" i="2"/>
  <c r="EI3" i="2"/>
  <c r="EJ3" i="2"/>
  <c r="EK3" i="2"/>
  <c r="EL3" i="2"/>
  <c r="EM3" i="2"/>
  <c r="EN3" i="2"/>
  <c r="EO3" i="2"/>
  <c r="EP3" i="2"/>
  <c r="EQ3" i="2"/>
  <c r="ER3" i="2"/>
  <c r="ES3" i="2"/>
  <c r="ET3" i="2"/>
  <c r="EU3" i="2"/>
  <c r="EV3" i="2"/>
  <c r="EW3" i="2"/>
  <c r="EX3" i="2"/>
  <c r="EY3" i="2"/>
  <c r="EZ3" i="2"/>
  <c r="FA3" i="2"/>
  <c r="FB3" i="2"/>
  <c r="FC3" i="2"/>
  <c r="FD3" i="2"/>
  <c r="FE3" i="2"/>
  <c r="FF3" i="2"/>
  <c r="FG3" i="2"/>
  <c r="FH3" i="2"/>
  <c r="FI3" i="2"/>
  <c r="FJ3" i="2"/>
  <c r="FK3" i="2"/>
  <c r="FL3" i="2"/>
  <c r="FM3" i="2"/>
  <c r="FN3" i="2"/>
  <c r="FO3" i="2"/>
  <c r="FP3" i="2"/>
  <c r="FQ3" i="2"/>
  <c r="FR3" i="2"/>
  <c r="FS3" i="2"/>
  <c r="FT3" i="2"/>
  <c r="FU3" i="2"/>
  <c r="FV3" i="2"/>
  <c r="FW3" i="2"/>
  <c r="FX3" i="2"/>
  <c r="FY3" i="2"/>
  <c r="FZ3" i="2"/>
  <c r="GA3" i="2"/>
  <c r="GB3" i="2"/>
  <c r="GC3" i="2"/>
  <c r="GD3" i="2"/>
  <c r="GE3" i="2"/>
  <c r="GF3" i="2"/>
  <c r="GG3" i="2"/>
  <c r="GH3" i="2"/>
  <c r="GI3" i="2"/>
  <c r="GJ3" i="2"/>
  <c r="GK3" i="2"/>
  <c r="GL3" i="2"/>
  <c r="GM3" i="2"/>
  <c r="GN3" i="2"/>
  <c r="GO3" i="2"/>
  <c r="GP3" i="2"/>
  <c r="GQ3" i="2"/>
  <c r="GR3" i="2"/>
  <c r="GS3" i="2"/>
  <c r="GT3" i="2"/>
  <c r="GU3" i="2"/>
  <c r="GV3" i="2"/>
  <c r="GW3" i="2"/>
  <c r="GX3" i="2"/>
  <c r="GY3" i="2"/>
  <c r="GZ3" i="2"/>
  <c r="HA3" i="2"/>
  <c r="HB3" i="2"/>
  <c r="HC3" i="2"/>
  <c r="HD3" i="2"/>
  <c r="HE3" i="2"/>
  <c r="HF3" i="2"/>
  <c r="HG3" i="2"/>
  <c r="HH3" i="2"/>
  <c r="HI3" i="2"/>
  <c r="HJ3" i="2"/>
  <c r="HK3" i="2"/>
  <c r="HL3" i="2"/>
  <c r="HM3" i="2"/>
  <c r="HN3" i="2"/>
  <c r="D4" i="2"/>
  <c r="E4" i="2"/>
  <c r="F4" i="2"/>
  <c r="G4" i="2"/>
  <c r="H4" i="2"/>
  <c r="I4" i="2"/>
  <c r="J4" i="2"/>
  <c r="K4" i="2"/>
  <c r="L4" i="2"/>
  <c r="M4" i="2"/>
  <c r="N4" i="2"/>
  <c r="O4" i="2"/>
  <c r="P4" i="2"/>
  <c r="Q4" i="2"/>
  <c r="R4" i="2"/>
  <c r="S4" i="2"/>
  <c r="T4" i="2"/>
  <c r="U4" i="2"/>
  <c r="V4" i="2"/>
  <c r="W4" i="2"/>
  <c r="X4" i="2"/>
  <c r="Y4" i="2"/>
  <c r="Z4" i="2"/>
  <c r="AA4" i="2"/>
  <c r="AB4" i="2"/>
  <c r="AC4" i="2"/>
  <c r="AD4" i="2"/>
  <c r="AE4" i="2"/>
  <c r="AF4" i="2"/>
  <c r="AG4" i="2"/>
  <c r="AH4" i="2"/>
  <c r="AI4" i="2"/>
  <c r="AJ4" i="2"/>
  <c r="AK4" i="2"/>
  <c r="AL4" i="2"/>
  <c r="AM4" i="2"/>
  <c r="AN4" i="2"/>
  <c r="AO4" i="2"/>
  <c r="AP4" i="2"/>
  <c r="AQ4" i="2"/>
  <c r="AR4" i="2"/>
  <c r="AS4" i="2"/>
  <c r="AT4" i="2"/>
  <c r="AU4" i="2"/>
  <c r="AV4" i="2"/>
  <c r="AW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CQ4" i="2"/>
  <c r="CR4" i="2"/>
  <c r="CS4" i="2"/>
  <c r="CT4" i="2"/>
  <c r="CU4" i="2"/>
  <c r="CV4" i="2"/>
  <c r="CW4" i="2"/>
  <c r="CX4" i="2"/>
  <c r="CY4" i="2"/>
  <c r="CZ4" i="2"/>
  <c r="DA4" i="2"/>
  <c r="DB4" i="2"/>
  <c r="DC4" i="2"/>
  <c r="DD4" i="2"/>
  <c r="DE4" i="2"/>
  <c r="DF4" i="2"/>
  <c r="DG4" i="2"/>
  <c r="DH4" i="2"/>
  <c r="DI4" i="2"/>
  <c r="DJ4" i="2"/>
  <c r="DK4" i="2"/>
  <c r="DL4" i="2"/>
  <c r="DM4" i="2"/>
  <c r="DN4" i="2"/>
  <c r="DO4" i="2"/>
  <c r="DP4" i="2"/>
  <c r="DQ4" i="2"/>
  <c r="DR4" i="2"/>
  <c r="DS4" i="2"/>
  <c r="DT4" i="2"/>
  <c r="DU4" i="2"/>
  <c r="DV4" i="2"/>
  <c r="DW4" i="2"/>
  <c r="DX4" i="2"/>
  <c r="DY4" i="2"/>
  <c r="DZ4" i="2"/>
  <c r="EA4" i="2"/>
  <c r="EB4" i="2"/>
  <c r="EC4" i="2"/>
  <c r="ED4" i="2"/>
  <c r="EE4" i="2"/>
  <c r="EF4" i="2"/>
  <c r="EG4" i="2"/>
  <c r="EH4" i="2"/>
  <c r="EI4" i="2"/>
  <c r="EJ4" i="2"/>
  <c r="EK4" i="2"/>
  <c r="EL4" i="2"/>
  <c r="EM4" i="2"/>
  <c r="EN4" i="2"/>
  <c r="EO4" i="2"/>
  <c r="EP4" i="2"/>
  <c r="EQ4" i="2"/>
  <c r="ER4" i="2"/>
  <c r="ES4" i="2"/>
  <c r="ET4" i="2"/>
  <c r="EU4" i="2"/>
  <c r="EV4" i="2"/>
  <c r="EW4" i="2"/>
  <c r="EX4" i="2"/>
  <c r="EY4" i="2"/>
  <c r="EZ4" i="2"/>
  <c r="FA4" i="2"/>
  <c r="FB4" i="2"/>
  <c r="FC4" i="2"/>
  <c r="FD4" i="2"/>
  <c r="FE4" i="2"/>
  <c r="FF4" i="2"/>
  <c r="FG4" i="2"/>
  <c r="FH4" i="2"/>
  <c r="FI4" i="2"/>
  <c r="FJ4" i="2"/>
  <c r="FK4" i="2"/>
  <c r="FL4" i="2"/>
  <c r="FM4" i="2"/>
  <c r="FN4" i="2"/>
  <c r="FO4" i="2"/>
  <c r="FP4" i="2"/>
  <c r="FQ4" i="2"/>
  <c r="FR4" i="2"/>
  <c r="FS4" i="2"/>
  <c r="FT4" i="2"/>
  <c r="FU4" i="2"/>
  <c r="FV4" i="2"/>
  <c r="FW4" i="2"/>
  <c r="FX4" i="2"/>
  <c r="FY4" i="2"/>
  <c r="FZ4" i="2"/>
  <c r="GA4" i="2"/>
  <c r="GB4" i="2"/>
  <c r="GC4" i="2"/>
  <c r="GD4" i="2"/>
  <c r="GE4" i="2"/>
  <c r="GF4" i="2"/>
  <c r="GG4" i="2"/>
  <c r="GH4" i="2"/>
  <c r="GI4" i="2"/>
  <c r="GJ4" i="2"/>
  <c r="GK4" i="2"/>
  <c r="GL4" i="2"/>
  <c r="GM4" i="2"/>
  <c r="GN4" i="2"/>
  <c r="GO4" i="2"/>
  <c r="GP4" i="2"/>
  <c r="GQ4" i="2"/>
  <c r="GR4" i="2"/>
  <c r="GS4" i="2"/>
  <c r="GT4" i="2"/>
  <c r="GU4" i="2"/>
  <c r="GV4" i="2"/>
  <c r="GW4" i="2"/>
  <c r="GX4" i="2"/>
  <c r="GY4" i="2"/>
  <c r="GZ4" i="2"/>
  <c r="HA4" i="2"/>
  <c r="HB4" i="2"/>
  <c r="HC4" i="2"/>
  <c r="HD4" i="2"/>
  <c r="HE4" i="2"/>
  <c r="HF4" i="2"/>
  <c r="HG4" i="2"/>
  <c r="HH4" i="2"/>
  <c r="HI4" i="2"/>
  <c r="HJ4" i="2"/>
  <c r="HK4" i="2"/>
  <c r="HL4" i="2"/>
  <c r="HM4" i="2"/>
  <c r="HN4" i="2"/>
  <c r="D5" i="2"/>
  <c r="E5" i="2"/>
  <c r="F5" i="2"/>
  <c r="G5" i="2"/>
  <c r="H5" i="2"/>
  <c r="I5" i="2"/>
  <c r="J5" i="2"/>
  <c r="K5" i="2"/>
  <c r="L5" i="2"/>
  <c r="M5" i="2"/>
  <c r="N5" i="2"/>
  <c r="O5" i="2"/>
  <c r="P5" i="2"/>
  <c r="Q5" i="2"/>
  <c r="R5" i="2"/>
  <c r="S5" i="2"/>
  <c r="T5" i="2"/>
  <c r="U5" i="2"/>
  <c r="V5" i="2"/>
  <c r="W5" i="2"/>
  <c r="X5" i="2"/>
  <c r="Y5" i="2"/>
  <c r="Z5" i="2"/>
  <c r="AA5" i="2"/>
  <c r="AB5" i="2"/>
  <c r="AC5" i="2"/>
  <c r="AD5" i="2"/>
  <c r="AE5" i="2"/>
  <c r="AF5" i="2"/>
  <c r="AG5" i="2"/>
  <c r="AH5" i="2"/>
  <c r="AI5" i="2"/>
  <c r="AJ5" i="2"/>
  <c r="AK5" i="2"/>
  <c r="AL5" i="2"/>
  <c r="AM5" i="2"/>
  <c r="AN5" i="2"/>
  <c r="AO5" i="2"/>
  <c r="AP5" i="2"/>
  <c r="AQ5" i="2"/>
  <c r="AR5" i="2"/>
  <c r="AS5" i="2"/>
  <c r="AT5" i="2"/>
  <c r="AU5" i="2"/>
  <c r="AV5" i="2"/>
  <c r="AW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CQ5" i="2"/>
  <c r="CR5" i="2"/>
  <c r="CS5" i="2"/>
  <c r="CT5" i="2"/>
  <c r="CU5" i="2"/>
  <c r="CV5" i="2"/>
  <c r="CW5" i="2"/>
  <c r="CX5" i="2"/>
  <c r="CY5" i="2"/>
  <c r="CZ5" i="2"/>
  <c r="DA5" i="2"/>
  <c r="DB5" i="2"/>
  <c r="DC5" i="2"/>
  <c r="DD5" i="2"/>
  <c r="DE5" i="2"/>
  <c r="DF5" i="2"/>
  <c r="DG5" i="2"/>
  <c r="DH5" i="2"/>
  <c r="DI5" i="2"/>
  <c r="DJ5" i="2"/>
  <c r="DK5" i="2"/>
  <c r="DL5" i="2"/>
  <c r="DM5" i="2"/>
  <c r="DN5" i="2"/>
  <c r="DO5" i="2"/>
  <c r="DP5" i="2"/>
  <c r="DQ5" i="2"/>
  <c r="DR5" i="2"/>
  <c r="DS5" i="2"/>
  <c r="DT5" i="2"/>
  <c r="DU5" i="2"/>
  <c r="DV5" i="2"/>
  <c r="DW5" i="2"/>
  <c r="DX5" i="2"/>
  <c r="DY5" i="2"/>
  <c r="DZ5" i="2"/>
  <c r="EA5" i="2"/>
  <c r="EB5" i="2"/>
  <c r="EC5" i="2"/>
  <c r="ED5" i="2"/>
  <c r="EE5" i="2"/>
  <c r="EF5" i="2"/>
  <c r="EG5" i="2"/>
  <c r="EH5" i="2"/>
  <c r="EI5" i="2"/>
  <c r="EJ5" i="2"/>
  <c r="EK5" i="2"/>
  <c r="EL5" i="2"/>
  <c r="EM5" i="2"/>
  <c r="EN5" i="2"/>
  <c r="EO5" i="2"/>
  <c r="EP5" i="2"/>
  <c r="EQ5" i="2"/>
  <c r="ER5" i="2"/>
  <c r="ES5" i="2"/>
  <c r="ET5" i="2"/>
  <c r="EU5" i="2"/>
  <c r="EV5" i="2"/>
  <c r="EW5" i="2"/>
  <c r="EX5" i="2"/>
  <c r="EY5" i="2"/>
  <c r="EZ5" i="2"/>
  <c r="FA5" i="2"/>
  <c r="FB5" i="2"/>
  <c r="FC5" i="2"/>
  <c r="FD5" i="2"/>
  <c r="FE5" i="2"/>
  <c r="FF5" i="2"/>
  <c r="FG5" i="2"/>
  <c r="FH5" i="2"/>
  <c r="FI5" i="2"/>
  <c r="FJ5" i="2"/>
  <c r="FK5" i="2"/>
  <c r="FL5" i="2"/>
  <c r="FM5" i="2"/>
  <c r="FN5" i="2"/>
  <c r="FO5" i="2"/>
  <c r="FP5" i="2"/>
  <c r="FQ5" i="2"/>
  <c r="FR5" i="2"/>
  <c r="FS5" i="2"/>
  <c r="FT5" i="2"/>
  <c r="FU5" i="2"/>
  <c r="FV5" i="2"/>
  <c r="FW5" i="2"/>
  <c r="FX5" i="2"/>
  <c r="FY5" i="2"/>
  <c r="FZ5" i="2"/>
  <c r="GA5" i="2"/>
  <c r="GB5" i="2"/>
  <c r="GC5" i="2"/>
  <c r="GD5" i="2"/>
  <c r="GE5" i="2"/>
  <c r="GF5" i="2"/>
  <c r="GG5" i="2"/>
  <c r="GH5" i="2"/>
  <c r="GI5" i="2"/>
  <c r="GJ5" i="2"/>
  <c r="GK5" i="2"/>
  <c r="GL5" i="2"/>
  <c r="GM5" i="2"/>
  <c r="GN5" i="2"/>
  <c r="GO5" i="2"/>
  <c r="GP5" i="2"/>
  <c r="GQ5" i="2"/>
  <c r="GR5" i="2"/>
  <c r="GS5" i="2"/>
  <c r="GT5" i="2"/>
  <c r="GU5" i="2"/>
  <c r="GV5" i="2"/>
  <c r="GW5" i="2"/>
  <c r="GX5" i="2"/>
  <c r="GY5" i="2"/>
  <c r="GZ5" i="2"/>
  <c r="HA5" i="2"/>
  <c r="HB5" i="2"/>
  <c r="HC5" i="2"/>
  <c r="HD5" i="2"/>
  <c r="HE5" i="2"/>
  <c r="HF5" i="2"/>
  <c r="HG5" i="2"/>
  <c r="HH5" i="2"/>
  <c r="HI5" i="2"/>
  <c r="HJ5" i="2"/>
  <c r="HK5" i="2"/>
  <c r="HL5" i="2"/>
  <c r="HM5" i="2"/>
  <c r="HN5"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CQ6" i="2"/>
  <c r="CR6" i="2"/>
  <c r="CS6" i="2"/>
  <c r="CT6" i="2"/>
  <c r="CU6" i="2"/>
  <c r="CV6" i="2"/>
  <c r="CW6" i="2"/>
  <c r="CX6" i="2"/>
  <c r="CY6" i="2"/>
  <c r="CZ6" i="2"/>
  <c r="DA6" i="2"/>
  <c r="DB6" i="2"/>
  <c r="DC6" i="2"/>
  <c r="DD6" i="2"/>
  <c r="DE6" i="2"/>
  <c r="DF6" i="2"/>
  <c r="DG6" i="2"/>
  <c r="DH6" i="2"/>
  <c r="DI6" i="2"/>
  <c r="DJ6" i="2"/>
  <c r="DK6" i="2"/>
  <c r="DL6" i="2"/>
  <c r="DM6" i="2"/>
  <c r="DN6" i="2"/>
  <c r="DO6" i="2"/>
  <c r="DP6" i="2"/>
  <c r="DQ6" i="2"/>
  <c r="DR6" i="2"/>
  <c r="DS6" i="2"/>
  <c r="DT6" i="2"/>
  <c r="DU6" i="2"/>
  <c r="DV6" i="2"/>
  <c r="DW6" i="2"/>
  <c r="DX6" i="2"/>
  <c r="DY6" i="2"/>
  <c r="DZ6" i="2"/>
  <c r="EA6" i="2"/>
  <c r="EB6" i="2"/>
  <c r="EC6" i="2"/>
  <c r="ED6" i="2"/>
  <c r="EE6" i="2"/>
  <c r="EF6" i="2"/>
  <c r="EG6" i="2"/>
  <c r="EH6" i="2"/>
  <c r="EI6" i="2"/>
  <c r="EJ6" i="2"/>
  <c r="EK6" i="2"/>
  <c r="EL6" i="2"/>
  <c r="EM6" i="2"/>
  <c r="EN6" i="2"/>
  <c r="EO6" i="2"/>
  <c r="EP6" i="2"/>
  <c r="EQ6" i="2"/>
  <c r="ER6" i="2"/>
  <c r="ES6" i="2"/>
  <c r="ET6" i="2"/>
  <c r="EU6" i="2"/>
  <c r="EV6" i="2"/>
  <c r="EW6" i="2"/>
  <c r="EX6" i="2"/>
  <c r="EY6" i="2"/>
  <c r="EZ6" i="2"/>
  <c r="FA6" i="2"/>
  <c r="FB6" i="2"/>
  <c r="FC6" i="2"/>
  <c r="FD6" i="2"/>
  <c r="FE6" i="2"/>
  <c r="FF6" i="2"/>
  <c r="FG6" i="2"/>
  <c r="FH6" i="2"/>
  <c r="FI6" i="2"/>
  <c r="FJ6" i="2"/>
  <c r="FK6" i="2"/>
  <c r="FL6" i="2"/>
  <c r="FM6" i="2"/>
  <c r="FN6" i="2"/>
  <c r="FO6" i="2"/>
  <c r="FP6" i="2"/>
  <c r="FQ6" i="2"/>
  <c r="FR6" i="2"/>
  <c r="FS6" i="2"/>
  <c r="FT6" i="2"/>
  <c r="FU6" i="2"/>
  <c r="FV6" i="2"/>
  <c r="FW6" i="2"/>
  <c r="FX6" i="2"/>
  <c r="FY6" i="2"/>
  <c r="FZ6" i="2"/>
  <c r="GA6" i="2"/>
  <c r="GB6" i="2"/>
  <c r="GC6" i="2"/>
  <c r="GD6" i="2"/>
  <c r="GE6" i="2"/>
  <c r="GF6" i="2"/>
  <c r="GG6" i="2"/>
  <c r="GH6" i="2"/>
  <c r="GI6" i="2"/>
  <c r="GJ6" i="2"/>
  <c r="GK6" i="2"/>
  <c r="GL6" i="2"/>
  <c r="GM6" i="2"/>
  <c r="GN6" i="2"/>
  <c r="GO6" i="2"/>
  <c r="GP6" i="2"/>
  <c r="GQ6" i="2"/>
  <c r="GR6" i="2"/>
  <c r="GS6" i="2"/>
  <c r="GT6" i="2"/>
  <c r="GU6" i="2"/>
  <c r="GV6" i="2"/>
  <c r="GW6" i="2"/>
  <c r="GX6" i="2"/>
  <c r="GY6" i="2"/>
  <c r="GZ6" i="2"/>
  <c r="HA6" i="2"/>
  <c r="HB6" i="2"/>
  <c r="HC6" i="2"/>
  <c r="HD6" i="2"/>
  <c r="HE6" i="2"/>
  <c r="HF6" i="2"/>
  <c r="HG6" i="2"/>
  <c r="HH6" i="2"/>
  <c r="HI6" i="2"/>
  <c r="HJ6" i="2"/>
  <c r="HK6" i="2"/>
  <c r="HL6" i="2"/>
  <c r="HM6" i="2"/>
  <c r="HN6" i="2"/>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CQ7" i="2"/>
  <c r="CR7" i="2"/>
  <c r="CS7" i="2"/>
  <c r="CT7" i="2"/>
  <c r="CU7" i="2"/>
  <c r="CV7" i="2"/>
  <c r="CW7" i="2"/>
  <c r="CX7" i="2"/>
  <c r="CY7" i="2"/>
  <c r="CZ7" i="2"/>
  <c r="DA7" i="2"/>
  <c r="DB7" i="2"/>
  <c r="DC7" i="2"/>
  <c r="DD7" i="2"/>
  <c r="DE7" i="2"/>
  <c r="DF7" i="2"/>
  <c r="DG7" i="2"/>
  <c r="DH7" i="2"/>
  <c r="DI7" i="2"/>
  <c r="DJ7" i="2"/>
  <c r="DK7" i="2"/>
  <c r="DL7" i="2"/>
  <c r="DM7" i="2"/>
  <c r="DN7" i="2"/>
  <c r="DO7" i="2"/>
  <c r="DP7" i="2"/>
  <c r="DQ7" i="2"/>
  <c r="DR7" i="2"/>
  <c r="DS7" i="2"/>
  <c r="DT7" i="2"/>
  <c r="DU7" i="2"/>
  <c r="DV7" i="2"/>
  <c r="DW7" i="2"/>
  <c r="DX7" i="2"/>
  <c r="DY7" i="2"/>
  <c r="DZ7" i="2"/>
  <c r="EA7" i="2"/>
  <c r="EB7" i="2"/>
  <c r="EC7" i="2"/>
  <c r="ED7" i="2"/>
  <c r="EE7" i="2"/>
  <c r="EF7" i="2"/>
  <c r="EG7" i="2"/>
  <c r="EH7" i="2"/>
  <c r="EI7" i="2"/>
  <c r="EJ7" i="2"/>
  <c r="EK7" i="2"/>
  <c r="EL7" i="2"/>
  <c r="EM7" i="2"/>
  <c r="EN7" i="2"/>
  <c r="EO7" i="2"/>
  <c r="EP7" i="2"/>
  <c r="EQ7" i="2"/>
  <c r="ER7" i="2"/>
  <c r="ES7" i="2"/>
  <c r="ET7" i="2"/>
  <c r="EU7" i="2"/>
  <c r="EV7" i="2"/>
  <c r="EW7" i="2"/>
  <c r="EX7" i="2"/>
  <c r="EY7" i="2"/>
  <c r="EZ7" i="2"/>
  <c r="FA7" i="2"/>
  <c r="FB7" i="2"/>
  <c r="FC7" i="2"/>
  <c r="FD7" i="2"/>
  <c r="FE7" i="2"/>
  <c r="FF7" i="2"/>
  <c r="FG7" i="2"/>
  <c r="FH7" i="2"/>
  <c r="FI7" i="2"/>
  <c r="FJ7" i="2"/>
  <c r="FK7" i="2"/>
  <c r="FL7" i="2"/>
  <c r="FM7" i="2"/>
  <c r="FN7" i="2"/>
  <c r="FO7" i="2"/>
  <c r="FP7" i="2"/>
  <c r="FQ7" i="2"/>
  <c r="FR7" i="2"/>
  <c r="FS7" i="2"/>
  <c r="FT7" i="2"/>
  <c r="FU7" i="2"/>
  <c r="FV7" i="2"/>
  <c r="FW7" i="2"/>
  <c r="FX7" i="2"/>
  <c r="FY7" i="2"/>
  <c r="FZ7" i="2"/>
  <c r="GA7" i="2"/>
  <c r="GB7" i="2"/>
  <c r="GC7" i="2"/>
  <c r="GD7" i="2"/>
  <c r="GE7" i="2"/>
  <c r="GF7" i="2"/>
  <c r="GG7" i="2"/>
  <c r="GH7" i="2"/>
  <c r="GI7" i="2"/>
  <c r="GJ7" i="2"/>
  <c r="GK7" i="2"/>
  <c r="GL7" i="2"/>
  <c r="GM7" i="2"/>
  <c r="GN7" i="2"/>
  <c r="GO7" i="2"/>
  <c r="GP7" i="2"/>
  <c r="GQ7" i="2"/>
  <c r="GR7" i="2"/>
  <c r="GS7" i="2"/>
  <c r="GT7" i="2"/>
  <c r="GU7" i="2"/>
  <c r="GV7" i="2"/>
  <c r="GW7" i="2"/>
  <c r="GX7" i="2"/>
  <c r="GY7" i="2"/>
  <c r="GZ7" i="2"/>
  <c r="HA7" i="2"/>
  <c r="HB7" i="2"/>
  <c r="HC7" i="2"/>
  <c r="HD7" i="2"/>
  <c r="HE7" i="2"/>
  <c r="HF7" i="2"/>
  <c r="HG7" i="2"/>
  <c r="HH7" i="2"/>
  <c r="HI7" i="2"/>
  <c r="HJ7" i="2"/>
  <c r="HK7" i="2"/>
  <c r="HL7" i="2"/>
  <c r="HM7" i="2"/>
  <c r="HN7" i="2"/>
  <c r="C7" i="2"/>
  <c r="C6" i="2"/>
  <c r="C5" i="2"/>
  <c r="C4" i="2"/>
  <c r="C3" i="2"/>
  <c r="D25" i="3" l="1"/>
  <c r="E25" i="3"/>
  <c r="E26" i="3" s="1"/>
  <c r="F25" i="3"/>
  <c r="G25" i="3"/>
  <c r="G26" i="3" s="1"/>
  <c r="H25" i="3"/>
  <c r="H26" i="3" s="1"/>
  <c r="I25" i="3"/>
  <c r="I26" i="3" s="1"/>
  <c r="J25" i="3"/>
  <c r="J26" i="3" s="1"/>
  <c r="K25" i="3"/>
  <c r="K26" i="3" s="1"/>
  <c r="L25" i="3"/>
  <c r="L26" i="3" s="1"/>
  <c r="M25" i="3"/>
  <c r="M26" i="3" s="1"/>
  <c r="N25" i="3"/>
  <c r="O25" i="3"/>
  <c r="P25" i="3"/>
  <c r="P26" i="3" s="1"/>
  <c r="Q25" i="3"/>
  <c r="Q26" i="3" s="1"/>
  <c r="R25" i="3"/>
  <c r="R26" i="3" s="1"/>
  <c r="S25" i="3"/>
  <c r="S26" i="3" s="1"/>
  <c r="T25" i="3"/>
  <c r="U25" i="3"/>
  <c r="U26" i="3" s="1"/>
  <c r="V25" i="3"/>
  <c r="W25" i="3"/>
  <c r="W26" i="3" s="1"/>
  <c r="X25" i="3"/>
  <c r="X26" i="3" s="1"/>
  <c r="Y25" i="3"/>
  <c r="Y26" i="3" s="1"/>
  <c r="Z25" i="3"/>
  <c r="Z26" i="3" s="1"/>
  <c r="AA25" i="3"/>
  <c r="AA26" i="3" s="1"/>
  <c r="AB25" i="3"/>
  <c r="AB26" i="3" s="1"/>
  <c r="AC25" i="3"/>
  <c r="AC26" i="3" s="1"/>
  <c r="AD25" i="3"/>
  <c r="AE25" i="3"/>
  <c r="AF25" i="3"/>
  <c r="AF26" i="3" s="1"/>
  <c r="AG25" i="3"/>
  <c r="AG26" i="3" s="1"/>
  <c r="AH25" i="3"/>
  <c r="AH26" i="3" s="1"/>
  <c r="AI25" i="3"/>
  <c r="AI26" i="3" s="1"/>
  <c r="AJ25" i="3"/>
  <c r="AK25" i="3"/>
  <c r="AK26" i="3" s="1"/>
  <c r="AL25" i="3"/>
  <c r="AM25" i="3"/>
  <c r="AM26" i="3" s="1"/>
  <c r="AN25" i="3"/>
  <c r="AN26" i="3" s="1"/>
  <c r="AO25" i="3"/>
  <c r="AO26" i="3" s="1"/>
  <c r="AP25" i="3"/>
  <c r="AP26" i="3" s="1"/>
  <c r="AQ25" i="3"/>
  <c r="AQ26" i="3" s="1"/>
  <c r="AR25" i="3"/>
  <c r="AR26" i="3" s="1"/>
  <c r="AS25" i="3"/>
  <c r="AS26" i="3" s="1"/>
  <c r="AT25" i="3"/>
  <c r="AU25" i="3"/>
  <c r="AV25" i="3"/>
  <c r="AV26" i="3" s="1"/>
  <c r="AW25" i="3"/>
  <c r="AW26" i="3" s="1"/>
  <c r="AX25" i="3"/>
  <c r="AX26" i="3" s="1"/>
  <c r="AY25" i="3"/>
  <c r="AY26" i="3" s="1"/>
  <c r="AZ25" i="3"/>
  <c r="BA25" i="3"/>
  <c r="BA26" i="3" s="1"/>
  <c r="BB25" i="3"/>
  <c r="BC25" i="3"/>
  <c r="BC26" i="3" s="1"/>
  <c r="BD25" i="3"/>
  <c r="BD26" i="3" s="1"/>
  <c r="BE25" i="3"/>
  <c r="BE26" i="3" s="1"/>
  <c r="BF25" i="3"/>
  <c r="BF26" i="3" s="1"/>
  <c r="BG25" i="3"/>
  <c r="BG26" i="3" s="1"/>
  <c r="BH25" i="3"/>
  <c r="BH26" i="3" s="1"/>
  <c r="BI25" i="3"/>
  <c r="BI26" i="3" s="1"/>
  <c r="BJ25" i="3"/>
  <c r="BK25" i="3"/>
  <c r="BL25" i="3"/>
  <c r="BL26" i="3" s="1"/>
  <c r="BM25" i="3"/>
  <c r="BM26" i="3" s="1"/>
  <c r="BN25" i="3"/>
  <c r="BN26" i="3" s="1"/>
  <c r="BO25" i="3"/>
  <c r="BO26" i="3" s="1"/>
  <c r="BP25" i="3"/>
  <c r="BQ25" i="3"/>
  <c r="BQ26" i="3" s="1"/>
  <c r="BR25" i="3"/>
  <c r="BS25" i="3"/>
  <c r="BS26" i="3" s="1"/>
  <c r="BT25" i="3"/>
  <c r="BT26" i="3" s="1"/>
  <c r="BU25" i="3"/>
  <c r="BU26" i="3" s="1"/>
  <c r="BV25" i="3"/>
  <c r="BV26" i="3" s="1"/>
  <c r="BW25" i="3"/>
  <c r="BX25" i="3"/>
  <c r="BY25" i="3"/>
  <c r="BZ25" i="3"/>
  <c r="CA25" i="3"/>
  <c r="CB25" i="3"/>
  <c r="CB26" i="3" s="1"/>
  <c r="CC25" i="3"/>
  <c r="CC26" i="3" s="1"/>
  <c r="CD25" i="3"/>
  <c r="CD26" i="3" s="1"/>
  <c r="CE25" i="3"/>
  <c r="CE26" i="3" s="1"/>
  <c r="CF25" i="3"/>
  <c r="CG25" i="3"/>
  <c r="CH25" i="3"/>
  <c r="CH26" i="3" s="1"/>
  <c r="CI25" i="3"/>
  <c r="CI26" i="3" s="1"/>
  <c r="CJ25" i="3"/>
  <c r="CJ26" i="3" s="1"/>
  <c r="CK25" i="3"/>
  <c r="CK26" i="3" s="1"/>
  <c r="CL25" i="3"/>
  <c r="CL26" i="3" s="1"/>
  <c r="CM25" i="3"/>
  <c r="CM26" i="3" s="1"/>
  <c r="CN25" i="3"/>
  <c r="CO25" i="3"/>
  <c r="CP25" i="3"/>
  <c r="CQ25" i="3"/>
  <c r="CR25" i="3"/>
  <c r="CR26" i="3" s="1"/>
  <c r="CS25" i="3"/>
  <c r="CS26" i="3" s="1"/>
  <c r="CT25" i="3"/>
  <c r="CT26" i="3" s="1"/>
  <c r="CU25" i="3"/>
  <c r="CU26" i="3" s="1"/>
  <c r="CV25" i="3"/>
  <c r="CW25" i="3"/>
  <c r="CX25" i="3"/>
  <c r="CY25" i="3"/>
  <c r="CZ25" i="3"/>
  <c r="CZ26" i="3" s="1"/>
  <c r="DA25" i="3"/>
  <c r="DA26" i="3" s="1"/>
  <c r="DB25" i="3"/>
  <c r="DB26" i="3" s="1"/>
  <c r="DC25" i="3"/>
  <c r="DC26" i="3" s="1"/>
  <c r="DD25" i="3"/>
  <c r="DE25" i="3"/>
  <c r="DF25" i="3"/>
  <c r="DG25" i="3"/>
  <c r="DH25" i="3"/>
  <c r="DH26" i="3" s="1"/>
  <c r="DI25" i="3"/>
  <c r="DI26" i="3" s="1"/>
  <c r="DJ25" i="3"/>
  <c r="DJ26" i="3" s="1"/>
  <c r="DK25" i="3"/>
  <c r="DK26" i="3" s="1"/>
  <c r="DL25" i="3"/>
  <c r="DM25" i="3"/>
  <c r="DN25" i="3"/>
  <c r="DO25" i="3"/>
  <c r="DP25" i="3"/>
  <c r="DP26" i="3" s="1"/>
  <c r="DQ25" i="3"/>
  <c r="DQ26" i="3" s="1"/>
  <c r="DR25" i="3"/>
  <c r="DR26" i="3" s="1"/>
  <c r="DS25" i="3"/>
  <c r="DS26" i="3" s="1"/>
  <c r="DT25" i="3"/>
  <c r="DU25" i="3"/>
  <c r="DV25" i="3"/>
  <c r="DW25" i="3"/>
  <c r="DX25" i="3"/>
  <c r="DX26" i="3" s="1"/>
  <c r="DY25" i="3"/>
  <c r="DY26" i="3" s="1"/>
  <c r="DZ25" i="3"/>
  <c r="DZ26" i="3" s="1"/>
  <c r="EA25" i="3"/>
  <c r="EA26" i="3" s="1"/>
  <c r="EB25" i="3"/>
  <c r="EC25" i="3"/>
  <c r="ED25" i="3"/>
  <c r="EE25" i="3"/>
  <c r="EF25" i="3"/>
  <c r="EF26" i="3" s="1"/>
  <c r="EG25" i="3"/>
  <c r="EG26" i="3" s="1"/>
  <c r="EH25" i="3"/>
  <c r="EH26" i="3" s="1"/>
  <c r="EI25" i="3"/>
  <c r="EJ25" i="3"/>
  <c r="EK25" i="3"/>
  <c r="EL25" i="3"/>
  <c r="EM25" i="3"/>
  <c r="EN25" i="3"/>
  <c r="EN26" i="3" s="1"/>
  <c r="EO25" i="3"/>
  <c r="EO26" i="3" s="1"/>
  <c r="EP25" i="3"/>
  <c r="EP26" i="3" s="1"/>
  <c r="EQ25" i="3"/>
  <c r="EQ26" i="3" s="1"/>
  <c r="ER25" i="3"/>
  <c r="ES25" i="3"/>
  <c r="ET25" i="3"/>
  <c r="EU25" i="3"/>
  <c r="EV25" i="3"/>
  <c r="EV26" i="3" s="1"/>
  <c r="EW25" i="3"/>
  <c r="EW26" i="3" s="1"/>
  <c r="EX25" i="3"/>
  <c r="EX26" i="3" s="1"/>
  <c r="EY25" i="3"/>
  <c r="EY26" i="3" s="1"/>
  <c r="EZ25" i="3"/>
  <c r="FA25" i="3"/>
  <c r="FB25" i="3"/>
  <c r="FC25" i="3"/>
  <c r="FD25" i="3"/>
  <c r="FD26" i="3" s="1"/>
  <c r="FE25" i="3"/>
  <c r="FE26" i="3" s="1"/>
  <c r="FF25" i="3"/>
  <c r="FF26" i="3" s="1"/>
  <c r="FG25" i="3"/>
  <c r="FG26" i="3" s="1"/>
  <c r="FH25" i="3"/>
  <c r="FI25" i="3"/>
  <c r="FJ25" i="3"/>
  <c r="FK25" i="3"/>
  <c r="FL25" i="3"/>
  <c r="FL26" i="3" s="1"/>
  <c r="FM25" i="3"/>
  <c r="FM26" i="3" s="1"/>
  <c r="FN25" i="3"/>
  <c r="FN26" i="3" s="1"/>
  <c r="FO25" i="3"/>
  <c r="FO26" i="3" s="1"/>
  <c r="FP25" i="3"/>
  <c r="FQ25" i="3"/>
  <c r="FR25" i="3"/>
  <c r="D26" i="3"/>
  <c r="F26" i="3"/>
  <c r="N26" i="3"/>
  <c r="O26" i="3"/>
  <c r="T26" i="3"/>
  <c r="V26" i="3"/>
  <c r="AD26" i="3"/>
  <c r="AE26" i="3"/>
  <c r="AJ26" i="3"/>
  <c r="AL26" i="3"/>
  <c r="AT26" i="3"/>
  <c r="AU26" i="3"/>
  <c r="AZ26" i="3"/>
  <c r="BB26" i="3"/>
  <c r="BJ26" i="3"/>
  <c r="BK26" i="3"/>
  <c r="BP26" i="3"/>
  <c r="BR26" i="3"/>
  <c r="BW26" i="3"/>
  <c r="BX26" i="3"/>
  <c r="BY26" i="3"/>
  <c r="BZ26" i="3"/>
  <c r="CA26" i="3"/>
  <c r="CF26" i="3"/>
  <c r="CG26" i="3"/>
  <c r="CN26" i="3"/>
  <c r="CO26" i="3"/>
  <c r="CP26" i="3"/>
  <c r="CQ26" i="3"/>
  <c r="CV26" i="3"/>
  <c r="CW26" i="3"/>
  <c r="CX26" i="3"/>
  <c r="CY26" i="3"/>
  <c r="DD26" i="3"/>
  <c r="DE26" i="3"/>
  <c r="DF26" i="3"/>
  <c r="DG26" i="3"/>
  <c r="DL26" i="3"/>
  <c r="DM26" i="3"/>
  <c r="DN26" i="3"/>
  <c r="DO26" i="3"/>
  <c r="DT26" i="3"/>
  <c r="DU26" i="3"/>
  <c r="DV26" i="3"/>
  <c r="DW26" i="3"/>
  <c r="EB26" i="3"/>
  <c r="EC26" i="3"/>
  <c r="ED26" i="3"/>
  <c r="EE26" i="3"/>
  <c r="EI26" i="3"/>
  <c r="EJ26" i="3"/>
  <c r="EK26" i="3"/>
  <c r="EL26" i="3"/>
  <c r="EM26" i="3"/>
  <c r="ER26" i="3"/>
  <c r="ES26" i="3"/>
  <c r="ET26" i="3"/>
  <c r="EU26" i="3"/>
  <c r="EZ26" i="3"/>
  <c r="FA26" i="3"/>
  <c r="FB26" i="3"/>
  <c r="FC26" i="3"/>
  <c r="FH26" i="3"/>
  <c r="FI26" i="3"/>
  <c r="FJ26" i="3"/>
  <c r="FK26" i="3"/>
  <c r="FP26" i="3"/>
  <c r="FQ26" i="3"/>
  <c r="FR26" i="3"/>
  <c r="D32" i="3"/>
  <c r="D33" i="3" s="1"/>
  <c r="E32" i="3"/>
  <c r="E33" i="3" s="1"/>
  <c r="F32" i="3"/>
  <c r="F33" i="3" s="1"/>
  <c r="G32" i="3"/>
  <c r="H32" i="3"/>
  <c r="I32" i="3"/>
  <c r="J32" i="3"/>
  <c r="J33" i="3" s="1"/>
  <c r="K32" i="3"/>
  <c r="K33" i="3" s="1"/>
  <c r="L32" i="3"/>
  <c r="L33" i="3" s="1"/>
  <c r="M32" i="3"/>
  <c r="N32" i="3"/>
  <c r="N33" i="3" s="1"/>
  <c r="O32" i="3"/>
  <c r="P32" i="3"/>
  <c r="Q32" i="3"/>
  <c r="Q33" i="3" s="1"/>
  <c r="R32" i="3"/>
  <c r="R33" i="3" s="1"/>
  <c r="S32" i="3"/>
  <c r="S33" i="3" s="1"/>
  <c r="T32" i="3"/>
  <c r="T33" i="3" s="1"/>
  <c r="U32" i="3"/>
  <c r="U33" i="3" s="1"/>
  <c r="V32" i="3"/>
  <c r="V33" i="3" s="1"/>
  <c r="W32" i="3"/>
  <c r="X32" i="3"/>
  <c r="Y32" i="3"/>
  <c r="Z32" i="3"/>
  <c r="Z33" i="3" s="1"/>
  <c r="AA32" i="3"/>
  <c r="AA33" i="3" s="1"/>
  <c r="AB32" i="3"/>
  <c r="AB33" i="3" s="1"/>
  <c r="AC32" i="3"/>
  <c r="AD32" i="3"/>
  <c r="AD33" i="3" s="1"/>
  <c r="AE32" i="3"/>
  <c r="AE33" i="3" s="1"/>
  <c r="AF32" i="3"/>
  <c r="AG32" i="3"/>
  <c r="AH32" i="3"/>
  <c r="AH33" i="3" s="1"/>
  <c r="AI32" i="3"/>
  <c r="AI33" i="3" s="1"/>
  <c r="AJ32" i="3"/>
  <c r="AJ33" i="3" s="1"/>
  <c r="AK32" i="3"/>
  <c r="AK33" i="3" s="1"/>
  <c r="AL32" i="3"/>
  <c r="AL33" i="3" s="1"/>
  <c r="AM32" i="3"/>
  <c r="AN32" i="3"/>
  <c r="AO32" i="3"/>
  <c r="AP32" i="3"/>
  <c r="AP33" i="3" s="1"/>
  <c r="AQ32" i="3"/>
  <c r="AQ33" i="3" s="1"/>
  <c r="AR32" i="3"/>
  <c r="AR33" i="3" s="1"/>
  <c r="AS32" i="3"/>
  <c r="AS33" i="3" s="1"/>
  <c r="AT32" i="3"/>
  <c r="AT33" i="3" s="1"/>
  <c r="AU32" i="3"/>
  <c r="AV32" i="3"/>
  <c r="AW32" i="3"/>
  <c r="AW33" i="3" s="1"/>
  <c r="AX32" i="3"/>
  <c r="AX33" i="3" s="1"/>
  <c r="AY32" i="3"/>
  <c r="AY33" i="3" s="1"/>
  <c r="AZ32" i="3"/>
  <c r="AZ33" i="3" s="1"/>
  <c r="BA32" i="3"/>
  <c r="BB32" i="3"/>
  <c r="BC32" i="3"/>
  <c r="BD32" i="3"/>
  <c r="BE32" i="3"/>
  <c r="BF32" i="3"/>
  <c r="BF33" i="3" s="1"/>
  <c r="BG32" i="3"/>
  <c r="BG33" i="3" s="1"/>
  <c r="BH32" i="3"/>
  <c r="BH33" i="3" s="1"/>
  <c r="BI32" i="3"/>
  <c r="BJ32" i="3"/>
  <c r="BJ33" i="3" s="1"/>
  <c r="BK32" i="3"/>
  <c r="BL32" i="3"/>
  <c r="BM32" i="3"/>
  <c r="BN32" i="3"/>
  <c r="BN33" i="3" s="1"/>
  <c r="BO32" i="3"/>
  <c r="BO33" i="3" s="1"/>
  <c r="BP32" i="3"/>
  <c r="BP33" i="3" s="1"/>
  <c r="BQ32" i="3"/>
  <c r="BQ33" i="3" s="1"/>
  <c r="BR32" i="3"/>
  <c r="BR33" i="3" s="1"/>
  <c r="BS32" i="3"/>
  <c r="BT32" i="3"/>
  <c r="BU32" i="3"/>
  <c r="BV32" i="3"/>
  <c r="BV33" i="3" s="1"/>
  <c r="BW32" i="3"/>
  <c r="BW33" i="3" s="1"/>
  <c r="BX32" i="3"/>
  <c r="BX33" i="3" s="1"/>
  <c r="BY32" i="3"/>
  <c r="BZ32" i="3"/>
  <c r="BZ33" i="3" s="1"/>
  <c r="CA32" i="3"/>
  <c r="CB32" i="3"/>
  <c r="CC32" i="3"/>
  <c r="CD32" i="3"/>
  <c r="CD33" i="3" s="1"/>
  <c r="CE32" i="3"/>
  <c r="CE33" i="3" s="1"/>
  <c r="CF32" i="3"/>
  <c r="CF33" i="3" s="1"/>
  <c r="CG32" i="3"/>
  <c r="CG33" i="3" s="1"/>
  <c r="CH32" i="3"/>
  <c r="CH33" i="3" s="1"/>
  <c r="CI32" i="3"/>
  <c r="CJ32" i="3"/>
  <c r="CK32" i="3"/>
  <c r="CL32" i="3"/>
  <c r="CL33" i="3" s="1"/>
  <c r="CM32" i="3"/>
  <c r="CM33" i="3" s="1"/>
  <c r="CN32" i="3"/>
  <c r="CN33" i="3" s="1"/>
  <c r="CO32" i="3"/>
  <c r="CP32" i="3"/>
  <c r="CP33" i="3" s="1"/>
  <c r="CQ32" i="3"/>
  <c r="CQ33" i="3" s="1"/>
  <c r="CR32" i="3"/>
  <c r="CS32" i="3"/>
  <c r="CT32" i="3"/>
  <c r="CT33" i="3" s="1"/>
  <c r="CU32" i="3"/>
  <c r="CU33" i="3" s="1"/>
  <c r="CV32" i="3"/>
  <c r="CV33" i="3" s="1"/>
  <c r="CW32" i="3"/>
  <c r="CX32" i="3"/>
  <c r="CX33" i="3" s="1"/>
  <c r="CY32" i="3"/>
  <c r="CZ32" i="3"/>
  <c r="DA32" i="3"/>
  <c r="DB32" i="3"/>
  <c r="DB33" i="3" s="1"/>
  <c r="DC32" i="3"/>
  <c r="DC33" i="3" s="1"/>
  <c r="DD32" i="3"/>
  <c r="DD33" i="3" s="1"/>
  <c r="DE32" i="3"/>
  <c r="DE33" i="3" s="1"/>
  <c r="DF32" i="3"/>
  <c r="DF33" i="3" s="1"/>
  <c r="DG32" i="3"/>
  <c r="DH32" i="3"/>
  <c r="DI32" i="3"/>
  <c r="DJ32" i="3"/>
  <c r="DJ33" i="3" s="1"/>
  <c r="DK32" i="3"/>
  <c r="DK33" i="3" s="1"/>
  <c r="DL32" i="3"/>
  <c r="DL33" i="3" s="1"/>
  <c r="DM32" i="3"/>
  <c r="DN32" i="3"/>
  <c r="DO32" i="3"/>
  <c r="DP32" i="3"/>
  <c r="DP33" i="3" s="1"/>
  <c r="DQ32" i="3"/>
  <c r="DR32" i="3"/>
  <c r="DR33" i="3" s="1"/>
  <c r="DS32" i="3"/>
  <c r="DS33" i="3" s="1"/>
  <c r="DT32" i="3"/>
  <c r="DT33" i="3" s="1"/>
  <c r="DU32" i="3"/>
  <c r="DV32" i="3"/>
  <c r="DV33" i="3" s="1"/>
  <c r="DW32" i="3"/>
  <c r="DX32" i="3"/>
  <c r="DY32" i="3"/>
  <c r="DZ32" i="3"/>
  <c r="DZ33" i="3" s="1"/>
  <c r="EA32" i="3"/>
  <c r="EA33" i="3" s="1"/>
  <c r="EB32" i="3"/>
  <c r="EB33" i="3" s="1"/>
  <c r="EC32" i="3"/>
  <c r="ED32" i="3"/>
  <c r="ED33" i="3" s="1"/>
  <c r="EE32" i="3"/>
  <c r="EE33" i="3" s="1"/>
  <c r="EF32" i="3"/>
  <c r="EG32" i="3"/>
  <c r="EH32" i="3"/>
  <c r="EH33" i="3" s="1"/>
  <c r="EI32" i="3"/>
  <c r="EI33" i="3" s="1"/>
  <c r="EJ32" i="3"/>
  <c r="EJ33" i="3" s="1"/>
  <c r="EK32" i="3"/>
  <c r="EL32" i="3"/>
  <c r="EL33" i="3" s="1"/>
  <c r="EM32" i="3"/>
  <c r="EN32" i="3"/>
  <c r="EO32" i="3"/>
  <c r="EP32" i="3"/>
  <c r="EP33" i="3" s="1"/>
  <c r="EQ32" i="3"/>
  <c r="EQ33" i="3" s="1"/>
  <c r="ER32" i="3"/>
  <c r="ER33" i="3" s="1"/>
  <c r="ES32" i="3"/>
  <c r="ES33" i="3" s="1"/>
  <c r="ET32" i="3"/>
  <c r="ET33" i="3" s="1"/>
  <c r="EU32" i="3"/>
  <c r="EV32" i="3"/>
  <c r="EV33" i="3" s="1"/>
  <c r="EW32" i="3"/>
  <c r="EX32" i="3"/>
  <c r="EX33" i="3" s="1"/>
  <c r="EY32" i="3"/>
  <c r="EY33" i="3" s="1"/>
  <c r="EZ32" i="3"/>
  <c r="EZ33" i="3" s="1"/>
  <c r="FA32" i="3"/>
  <c r="FB32" i="3"/>
  <c r="FB33" i="3" s="1"/>
  <c r="FC32" i="3"/>
  <c r="FD32" i="3"/>
  <c r="FE32" i="3"/>
  <c r="FF32" i="3"/>
  <c r="FF33" i="3" s="1"/>
  <c r="FG32" i="3"/>
  <c r="FG33" i="3" s="1"/>
  <c r="FH32" i="3"/>
  <c r="FH33" i="3" s="1"/>
  <c r="FI32" i="3"/>
  <c r="FI33" i="3" s="1"/>
  <c r="FJ32" i="3"/>
  <c r="FJ33" i="3" s="1"/>
  <c r="FK32" i="3"/>
  <c r="FL32" i="3"/>
  <c r="FM32" i="3"/>
  <c r="FN32" i="3"/>
  <c r="FN33" i="3" s="1"/>
  <c r="FO32" i="3"/>
  <c r="FO33" i="3" s="1"/>
  <c r="FP32" i="3"/>
  <c r="FP33" i="3" s="1"/>
  <c r="FQ32" i="3"/>
  <c r="FR32" i="3"/>
  <c r="FR33" i="3" s="1"/>
  <c r="G33" i="3"/>
  <c r="H33" i="3"/>
  <c r="I33" i="3"/>
  <c r="M33" i="3"/>
  <c r="O33" i="3"/>
  <c r="P33" i="3"/>
  <c r="W33" i="3"/>
  <c r="X33" i="3"/>
  <c r="Y33" i="3"/>
  <c r="AC33" i="3"/>
  <c r="AF33" i="3"/>
  <c r="AG33" i="3"/>
  <c r="AM33" i="3"/>
  <c r="AN33" i="3"/>
  <c r="AO33" i="3"/>
  <c r="AU33" i="3"/>
  <c r="AV33" i="3"/>
  <c r="BA33" i="3"/>
  <c r="BB33" i="3"/>
  <c r="BC33" i="3"/>
  <c r="BD33" i="3"/>
  <c r="BE33" i="3"/>
  <c r="BI33" i="3"/>
  <c r="BK33" i="3"/>
  <c r="BL33" i="3"/>
  <c r="BM33" i="3"/>
  <c r="BS33" i="3"/>
  <c r="BT33" i="3"/>
  <c r="BU33" i="3"/>
  <c r="BY33" i="3"/>
  <c r="CA33" i="3"/>
  <c r="CB33" i="3"/>
  <c r="CC33" i="3"/>
  <c r="CI33" i="3"/>
  <c r="CJ33" i="3"/>
  <c r="CK33" i="3"/>
  <c r="CO33" i="3"/>
  <c r="CR33" i="3"/>
  <c r="CS33" i="3"/>
  <c r="CW33" i="3"/>
  <c r="CY33" i="3"/>
  <c r="CZ33" i="3"/>
  <c r="DA33" i="3"/>
  <c r="DG33" i="3"/>
  <c r="DH33" i="3"/>
  <c r="DI33" i="3"/>
  <c r="DM33" i="3"/>
  <c r="DN33" i="3"/>
  <c r="DO33" i="3"/>
  <c r="DQ33" i="3"/>
  <c r="DU33" i="3"/>
  <c r="DW33" i="3"/>
  <c r="DX33" i="3"/>
  <c r="DY33" i="3"/>
  <c r="EC33" i="3"/>
  <c r="EF33" i="3"/>
  <c r="EG33" i="3"/>
  <c r="EK33" i="3"/>
  <c r="EM33" i="3"/>
  <c r="EN33" i="3"/>
  <c r="EO33" i="3"/>
  <c r="EU33" i="3"/>
  <c r="EW33" i="3"/>
  <c r="FA33" i="3"/>
  <c r="FC33" i="3"/>
  <c r="FD33" i="3"/>
  <c r="FE33" i="3"/>
  <c r="FK33" i="3"/>
  <c r="FL33" i="3"/>
  <c r="FM33" i="3"/>
  <c r="FQ33" i="3"/>
  <c r="D39" i="3"/>
  <c r="D40" i="3" s="1"/>
  <c r="E39" i="3"/>
  <c r="E40" i="3" s="1"/>
  <c r="F39" i="3"/>
  <c r="F40" i="3" s="1"/>
  <c r="G39" i="3"/>
  <c r="H39" i="3"/>
  <c r="I39" i="3"/>
  <c r="J39" i="3"/>
  <c r="J40" i="3" s="1"/>
  <c r="K39" i="3"/>
  <c r="L39" i="3"/>
  <c r="L40" i="3" s="1"/>
  <c r="M39" i="3"/>
  <c r="M40" i="3" s="1"/>
  <c r="N39" i="3"/>
  <c r="N40" i="3" s="1"/>
  <c r="O39" i="3"/>
  <c r="P39" i="3"/>
  <c r="Q39" i="3"/>
  <c r="Q40" i="3" s="1"/>
  <c r="R39" i="3"/>
  <c r="R40" i="3" s="1"/>
  <c r="S39" i="3"/>
  <c r="S40" i="3" s="1"/>
  <c r="T39" i="3"/>
  <c r="T40" i="3" s="1"/>
  <c r="U39" i="3"/>
  <c r="U40" i="3" s="1"/>
  <c r="V39" i="3"/>
  <c r="V40" i="3" s="1"/>
  <c r="W39" i="3"/>
  <c r="X39" i="3"/>
  <c r="Y39" i="3"/>
  <c r="Z39" i="3"/>
  <c r="Z40" i="3" s="1"/>
  <c r="AA39" i="3"/>
  <c r="AB39" i="3"/>
  <c r="AB40" i="3" s="1"/>
  <c r="AC39" i="3"/>
  <c r="AC40" i="3" s="1"/>
  <c r="AD39" i="3"/>
  <c r="AD40" i="3" s="1"/>
  <c r="AE39" i="3"/>
  <c r="AF39" i="3"/>
  <c r="AG39" i="3"/>
  <c r="AG40" i="3" s="1"/>
  <c r="AH39" i="3"/>
  <c r="AH40" i="3" s="1"/>
  <c r="AI39" i="3"/>
  <c r="AI40" i="3" s="1"/>
  <c r="AJ39" i="3"/>
  <c r="AJ40" i="3" s="1"/>
  <c r="AK39" i="3"/>
  <c r="AK40" i="3" s="1"/>
  <c r="AL39" i="3"/>
  <c r="AL40" i="3" s="1"/>
  <c r="AM39" i="3"/>
  <c r="AM40" i="3" s="1"/>
  <c r="AN39" i="3"/>
  <c r="AN40" i="3" s="1"/>
  <c r="AO39" i="3"/>
  <c r="AP39" i="3"/>
  <c r="AP40" i="3" s="1"/>
  <c r="AQ39" i="3"/>
  <c r="AR39" i="3"/>
  <c r="AR40" i="3" s="1"/>
  <c r="AS39" i="3"/>
  <c r="AS40" i="3" s="1"/>
  <c r="AT39" i="3"/>
  <c r="AT40" i="3" s="1"/>
  <c r="AU39" i="3"/>
  <c r="AV39" i="3"/>
  <c r="AV40" i="3" s="1"/>
  <c r="AW39" i="3"/>
  <c r="AX39" i="3"/>
  <c r="AX40" i="3" s="1"/>
  <c r="AY39" i="3"/>
  <c r="AY40" i="3" s="1"/>
  <c r="AZ39" i="3"/>
  <c r="AZ40" i="3" s="1"/>
  <c r="BA39" i="3"/>
  <c r="BA40" i="3" s="1"/>
  <c r="BB39" i="3"/>
  <c r="BB40" i="3" s="1"/>
  <c r="BC39" i="3"/>
  <c r="BC40" i="3" s="1"/>
  <c r="BD39" i="3"/>
  <c r="BD40" i="3" s="1"/>
  <c r="BE39" i="3"/>
  <c r="BF39" i="3"/>
  <c r="BF40" i="3" s="1"/>
  <c r="BG39" i="3"/>
  <c r="BH39" i="3"/>
  <c r="BH40" i="3" s="1"/>
  <c r="BI39" i="3"/>
  <c r="BI40" i="3" s="1"/>
  <c r="BJ39" i="3"/>
  <c r="BJ40" i="3" s="1"/>
  <c r="BK39" i="3"/>
  <c r="BL39" i="3"/>
  <c r="BL40" i="3" s="1"/>
  <c r="BM39" i="3"/>
  <c r="BM40" i="3" s="1"/>
  <c r="BN39" i="3"/>
  <c r="BO39" i="3"/>
  <c r="BO40" i="3" s="1"/>
  <c r="BP39" i="3"/>
  <c r="BP40" i="3" s="1"/>
  <c r="BQ39" i="3"/>
  <c r="BQ40" i="3" s="1"/>
  <c r="BR39" i="3"/>
  <c r="BR40" i="3" s="1"/>
  <c r="BS39" i="3"/>
  <c r="BS40" i="3" s="1"/>
  <c r="BT39" i="3"/>
  <c r="BT40" i="3" s="1"/>
  <c r="BU39" i="3"/>
  <c r="BU40" i="3" s="1"/>
  <c r="BV39" i="3"/>
  <c r="BV40" i="3" s="1"/>
  <c r="BW39" i="3"/>
  <c r="BX39" i="3"/>
  <c r="BX40" i="3" s="1"/>
  <c r="BY39" i="3"/>
  <c r="BY40" i="3" s="1"/>
  <c r="BZ39" i="3"/>
  <c r="BZ40" i="3" s="1"/>
  <c r="CA39" i="3"/>
  <c r="CB39" i="3"/>
  <c r="CB40" i="3" s="1"/>
  <c r="CC39" i="3"/>
  <c r="CD39" i="3"/>
  <c r="CD40" i="3" s="1"/>
  <c r="CE39" i="3"/>
  <c r="CE40" i="3" s="1"/>
  <c r="CF39" i="3"/>
  <c r="CF40" i="3" s="1"/>
  <c r="CG39" i="3"/>
  <c r="CG40" i="3" s="1"/>
  <c r="CH39" i="3"/>
  <c r="CH40" i="3" s="1"/>
  <c r="CI39" i="3"/>
  <c r="CI40" i="3" s="1"/>
  <c r="CJ39" i="3"/>
  <c r="CJ40" i="3" s="1"/>
  <c r="CK39" i="3"/>
  <c r="CK40" i="3" s="1"/>
  <c r="CL39" i="3"/>
  <c r="CL40" i="3" s="1"/>
  <c r="CM39" i="3"/>
  <c r="CN39" i="3"/>
  <c r="CN40" i="3" s="1"/>
  <c r="CO39" i="3"/>
  <c r="CO40" i="3" s="1"/>
  <c r="CP39" i="3"/>
  <c r="CP40" i="3" s="1"/>
  <c r="CQ39" i="3"/>
  <c r="CR39" i="3"/>
  <c r="CS39" i="3"/>
  <c r="CS40" i="3" s="1"/>
  <c r="CT39" i="3"/>
  <c r="CT40" i="3" s="1"/>
  <c r="CU39" i="3"/>
  <c r="CV39" i="3"/>
  <c r="CV40" i="3" s="1"/>
  <c r="CW39" i="3"/>
  <c r="CW40" i="3" s="1"/>
  <c r="CX39" i="3"/>
  <c r="CX40" i="3" s="1"/>
  <c r="CY39" i="3"/>
  <c r="CZ39" i="3"/>
  <c r="CZ40" i="3" s="1"/>
  <c r="DA39" i="3"/>
  <c r="DB39" i="3"/>
  <c r="DB40" i="3" s="1"/>
  <c r="DC39" i="3"/>
  <c r="DD39" i="3"/>
  <c r="DD40" i="3" s="1"/>
  <c r="DE39" i="3"/>
  <c r="DE40" i="3" s="1"/>
  <c r="DF39" i="3"/>
  <c r="DF40" i="3" s="1"/>
  <c r="DG39" i="3"/>
  <c r="DH39" i="3"/>
  <c r="DI39" i="3"/>
  <c r="DJ39" i="3"/>
  <c r="DJ40" i="3" s="1"/>
  <c r="DK39" i="3"/>
  <c r="DL39" i="3"/>
  <c r="DL40" i="3" s="1"/>
  <c r="DM39" i="3"/>
  <c r="DM40" i="3" s="1"/>
  <c r="DN39" i="3"/>
  <c r="DN40" i="3" s="1"/>
  <c r="DO39" i="3"/>
  <c r="DP39" i="3"/>
  <c r="DQ39" i="3"/>
  <c r="DR39" i="3"/>
  <c r="DR40" i="3" s="1"/>
  <c r="DS39" i="3"/>
  <c r="DT39" i="3"/>
  <c r="DT40" i="3" s="1"/>
  <c r="DU39" i="3"/>
  <c r="DU40" i="3" s="1"/>
  <c r="DV39" i="3"/>
  <c r="DV40" i="3" s="1"/>
  <c r="DW39" i="3"/>
  <c r="DX39" i="3"/>
  <c r="DX40" i="3" s="1"/>
  <c r="DY39" i="3"/>
  <c r="DY40" i="3" s="1"/>
  <c r="DZ39" i="3"/>
  <c r="EA39" i="3"/>
  <c r="EB39" i="3"/>
  <c r="EB40" i="3" s="1"/>
  <c r="EC39" i="3"/>
  <c r="EC40" i="3" s="1"/>
  <c r="ED39" i="3"/>
  <c r="ED40" i="3" s="1"/>
  <c r="EE39" i="3"/>
  <c r="EF39" i="3"/>
  <c r="EF40" i="3" s="1"/>
  <c r="EG39" i="3"/>
  <c r="EH39" i="3"/>
  <c r="EH40" i="3" s="1"/>
  <c r="EI39" i="3"/>
  <c r="EJ39" i="3"/>
  <c r="EJ40" i="3" s="1"/>
  <c r="EK39" i="3"/>
  <c r="EK40" i="3" s="1"/>
  <c r="EL39" i="3"/>
  <c r="EL40" i="3" s="1"/>
  <c r="EM39" i="3"/>
  <c r="EN39" i="3"/>
  <c r="EN40" i="3" s="1"/>
  <c r="EO39" i="3"/>
  <c r="EP39" i="3"/>
  <c r="EP40" i="3" s="1"/>
  <c r="EQ39" i="3"/>
  <c r="ER39" i="3"/>
  <c r="ER40" i="3" s="1"/>
  <c r="ES39" i="3"/>
  <c r="ES40" i="3" s="1"/>
  <c r="ET39" i="3"/>
  <c r="ET40" i="3" s="1"/>
  <c r="EU39" i="3"/>
  <c r="EV39" i="3"/>
  <c r="EV40" i="3" s="1"/>
  <c r="EW39" i="3"/>
  <c r="EX39" i="3"/>
  <c r="EX40" i="3" s="1"/>
  <c r="EY39" i="3"/>
  <c r="EZ39" i="3"/>
  <c r="EZ40" i="3" s="1"/>
  <c r="FA39" i="3"/>
  <c r="FA40" i="3" s="1"/>
  <c r="FB39" i="3"/>
  <c r="FB40" i="3" s="1"/>
  <c r="FC39" i="3"/>
  <c r="FD39" i="3"/>
  <c r="FE39" i="3"/>
  <c r="FE40" i="3" s="1"/>
  <c r="FF39" i="3"/>
  <c r="FF40" i="3" s="1"/>
  <c r="FG39" i="3"/>
  <c r="FH39" i="3"/>
  <c r="FH40" i="3" s="1"/>
  <c r="FI39" i="3"/>
  <c r="FI40" i="3" s="1"/>
  <c r="FJ39" i="3"/>
  <c r="FJ40" i="3" s="1"/>
  <c r="FK39" i="3"/>
  <c r="FL39" i="3"/>
  <c r="FL40" i="3" s="1"/>
  <c r="FM39" i="3"/>
  <c r="FN39" i="3"/>
  <c r="FN40" i="3" s="1"/>
  <c r="FO39" i="3"/>
  <c r="FP39" i="3"/>
  <c r="FP40" i="3" s="1"/>
  <c r="FQ39" i="3"/>
  <c r="FQ40" i="3" s="1"/>
  <c r="FR39" i="3"/>
  <c r="FR40" i="3" s="1"/>
  <c r="G40" i="3"/>
  <c r="H40" i="3"/>
  <c r="I40" i="3"/>
  <c r="K40" i="3"/>
  <c r="O40" i="3"/>
  <c r="P40" i="3"/>
  <c r="W40" i="3"/>
  <c r="X40" i="3"/>
  <c r="Y40" i="3"/>
  <c r="AA40" i="3"/>
  <c r="AE40" i="3"/>
  <c r="AF40" i="3"/>
  <c r="AO40" i="3"/>
  <c r="AQ40" i="3"/>
  <c r="AU40" i="3"/>
  <c r="AW40" i="3"/>
  <c r="BE40" i="3"/>
  <c r="BG40" i="3"/>
  <c r="BK40" i="3"/>
  <c r="BN40" i="3"/>
  <c r="BW40" i="3"/>
  <c r="CA40" i="3"/>
  <c r="CC40" i="3"/>
  <c r="CM40" i="3"/>
  <c r="CQ40" i="3"/>
  <c r="CR40" i="3"/>
  <c r="CU40" i="3"/>
  <c r="CY40" i="3"/>
  <c r="DA40" i="3"/>
  <c r="DC40" i="3"/>
  <c r="DG40" i="3"/>
  <c r="DH40" i="3"/>
  <c r="DI40" i="3"/>
  <c r="DK40" i="3"/>
  <c r="DO40" i="3"/>
  <c r="DP40" i="3"/>
  <c r="DQ40" i="3"/>
  <c r="DS40" i="3"/>
  <c r="DW40" i="3"/>
  <c r="DZ40" i="3"/>
  <c r="EA40" i="3"/>
  <c r="EE40" i="3"/>
  <c r="EG40" i="3"/>
  <c r="EI40" i="3"/>
  <c r="EM40" i="3"/>
  <c r="EO40" i="3"/>
  <c r="EQ40" i="3"/>
  <c r="EU40" i="3"/>
  <c r="EW40" i="3"/>
  <c r="EY40" i="3"/>
  <c r="FC40" i="3"/>
  <c r="FD40" i="3"/>
  <c r="FG40" i="3"/>
  <c r="FK40" i="3"/>
  <c r="FM40" i="3"/>
  <c r="FO40" i="3"/>
  <c r="D46" i="3"/>
  <c r="D47" i="3" s="1"/>
  <c r="E46" i="3"/>
  <c r="E47" i="3" s="1"/>
  <c r="F46" i="3"/>
  <c r="F47" i="3" s="1"/>
  <c r="G46" i="3"/>
  <c r="G47" i="3" s="1"/>
  <c r="H46" i="3"/>
  <c r="H47" i="3" s="1"/>
  <c r="I46" i="3"/>
  <c r="J46" i="3"/>
  <c r="K46" i="3"/>
  <c r="K47" i="3" s="1"/>
  <c r="L46" i="3"/>
  <c r="M46" i="3"/>
  <c r="N46" i="3"/>
  <c r="N47" i="3" s="1"/>
  <c r="O46" i="3"/>
  <c r="O47" i="3" s="1"/>
  <c r="P46" i="3"/>
  <c r="P47" i="3" s="1"/>
  <c r="Q46" i="3"/>
  <c r="R46" i="3"/>
  <c r="S46" i="3"/>
  <c r="S47" i="3" s="1"/>
  <c r="T46" i="3"/>
  <c r="T47" i="3" s="1"/>
  <c r="U46" i="3"/>
  <c r="U47" i="3" s="1"/>
  <c r="V46" i="3"/>
  <c r="V47" i="3" s="1"/>
  <c r="W46" i="3"/>
  <c r="W47" i="3" s="1"/>
  <c r="X46" i="3"/>
  <c r="Y46" i="3"/>
  <c r="Z46" i="3"/>
  <c r="AA46" i="3"/>
  <c r="AB46" i="3"/>
  <c r="AC46" i="3"/>
  <c r="AD46" i="3"/>
  <c r="AD47" i="3" s="1"/>
  <c r="AE46" i="3"/>
  <c r="AE47" i="3" s="1"/>
  <c r="AF46" i="3"/>
  <c r="AF47" i="3" s="1"/>
  <c r="AG46" i="3"/>
  <c r="AH46" i="3"/>
  <c r="AH47" i="3" s="1"/>
  <c r="AI46" i="3"/>
  <c r="AI47" i="3" s="1"/>
  <c r="AJ46" i="3"/>
  <c r="AJ47" i="3" s="1"/>
  <c r="AK46" i="3"/>
  <c r="AL46" i="3"/>
  <c r="AL47" i="3" s="1"/>
  <c r="AM46" i="3"/>
  <c r="AM47" i="3" s="1"/>
  <c r="AN46" i="3"/>
  <c r="AN47" i="3" s="1"/>
  <c r="AO46" i="3"/>
  <c r="AP46" i="3"/>
  <c r="AQ46" i="3"/>
  <c r="AQ47" i="3" s="1"/>
  <c r="AR46" i="3"/>
  <c r="AR47" i="3" s="1"/>
  <c r="AS46" i="3"/>
  <c r="AT46" i="3"/>
  <c r="AT47" i="3" s="1"/>
  <c r="AU46" i="3"/>
  <c r="AU47" i="3" s="1"/>
  <c r="AV46" i="3"/>
  <c r="AV47" i="3" s="1"/>
  <c r="AW46" i="3"/>
  <c r="AX46" i="3"/>
  <c r="AY46" i="3"/>
  <c r="AY47" i="3" s="1"/>
  <c r="AZ46" i="3"/>
  <c r="AZ47" i="3" s="1"/>
  <c r="BA46" i="3"/>
  <c r="BA47" i="3" s="1"/>
  <c r="BB46" i="3"/>
  <c r="BB47" i="3" s="1"/>
  <c r="BC46" i="3"/>
  <c r="BC47" i="3" s="1"/>
  <c r="BD46" i="3"/>
  <c r="BD47" i="3" s="1"/>
  <c r="BE46" i="3"/>
  <c r="BE47" i="3" s="1"/>
  <c r="BF46" i="3"/>
  <c r="BF47" i="3" s="1"/>
  <c r="BG46" i="3"/>
  <c r="BG47" i="3" s="1"/>
  <c r="BH46" i="3"/>
  <c r="BI46" i="3"/>
  <c r="BI47" i="3" s="1"/>
  <c r="BJ46" i="3"/>
  <c r="BJ47" i="3" s="1"/>
  <c r="BK46" i="3"/>
  <c r="BK47" i="3" s="1"/>
  <c r="BL46" i="3"/>
  <c r="BL47" i="3" s="1"/>
  <c r="BM46" i="3"/>
  <c r="BN46" i="3"/>
  <c r="BN47" i="3" s="1"/>
  <c r="BO46" i="3"/>
  <c r="BO47" i="3" s="1"/>
  <c r="BP46" i="3"/>
  <c r="BQ46" i="3"/>
  <c r="BQ47" i="3" s="1"/>
  <c r="BR46" i="3"/>
  <c r="BR47" i="3" s="1"/>
  <c r="BS46" i="3"/>
  <c r="BS47" i="3" s="1"/>
  <c r="BT46" i="3"/>
  <c r="BT47" i="3" s="1"/>
  <c r="BU46" i="3"/>
  <c r="BU47" i="3" s="1"/>
  <c r="BV46" i="3"/>
  <c r="BV47" i="3" s="1"/>
  <c r="BW46" i="3"/>
  <c r="BW47" i="3" s="1"/>
  <c r="BX46" i="3"/>
  <c r="BX47" i="3" s="1"/>
  <c r="BY46" i="3"/>
  <c r="BZ46" i="3"/>
  <c r="BZ47" i="3" s="1"/>
  <c r="CA46" i="3"/>
  <c r="CB46" i="3"/>
  <c r="CB47" i="3" s="1"/>
  <c r="CC46" i="3"/>
  <c r="CD46" i="3"/>
  <c r="CE46" i="3"/>
  <c r="CE47" i="3" s="1"/>
  <c r="CF46" i="3"/>
  <c r="CF47" i="3" s="1"/>
  <c r="CG46" i="3"/>
  <c r="CG47" i="3" s="1"/>
  <c r="CH46" i="3"/>
  <c r="CH47" i="3" s="1"/>
  <c r="CI46" i="3"/>
  <c r="CI47" i="3" s="1"/>
  <c r="CJ46" i="3"/>
  <c r="CJ47" i="3" s="1"/>
  <c r="CK46" i="3"/>
  <c r="CL46" i="3"/>
  <c r="CM46" i="3"/>
  <c r="CM47" i="3" s="1"/>
  <c r="CN46" i="3"/>
  <c r="CO46" i="3"/>
  <c r="CP46" i="3"/>
  <c r="CP47" i="3" s="1"/>
  <c r="CQ46" i="3"/>
  <c r="CQ47" i="3" s="1"/>
  <c r="CR46" i="3"/>
  <c r="CR47" i="3" s="1"/>
  <c r="CS46" i="3"/>
  <c r="CT46" i="3"/>
  <c r="CT47" i="3" s="1"/>
  <c r="CU46" i="3"/>
  <c r="CU47" i="3" s="1"/>
  <c r="CV46" i="3"/>
  <c r="CW46" i="3"/>
  <c r="CX46" i="3"/>
  <c r="CX47" i="3" s="1"/>
  <c r="CY46" i="3"/>
  <c r="CY47" i="3" s="1"/>
  <c r="CZ46" i="3"/>
  <c r="CZ47" i="3" s="1"/>
  <c r="DA46" i="3"/>
  <c r="DB46" i="3"/>
  <c r="DC46" i="3"/>
  <c r="DC47" i="3" s="1"/>
  <c r="DD46" i="3"/>
  <c r="DD47" i="3" s="1"/>
  <c r="DE46" i="3"/>
  <c r="DF46" i="3"/>
  <c r="DF47" i="3" s="1"/>
  <c r="DG46" i="3"/>
  <c r="DG47" i="3" s="1"/>
  <c r="DH46" i="3"/>
  <c r="DH47" i="3" s="1"/>
  <c r="DI46" i="3"/>
  <c r="DJ46" i="3"/>
  <c r="DK46" i="3"/>
  <c r="DL46" i="3"/>
  <c r="DL47" i="3" s="1"/>
  <c r="DM46" i="3"/>
  <c r="DM47" i="3" s="1"/>
  <c r="DN46" i="3"/>
  <c r="DN47" i="3" s="1"/>
  <c r="DO46" i="3"/>
  <c r="DO47" i="3" s="1"/>
  <c r="DP46" i="3"/>
  <c r="DP47" i="3" s="1"/>
  <c r="DQ46" i="3"/>
  <c r="DR46" i="3"/>
  <c r="DS46" i="3"/>
  <c r="DS47" i="3" s="1"/>
  <c r="DT46" i="3"/>
  <c r="DT47" i="3" s="1"/>
  <c r="DU46" i="3"/>
  <c r="DU47" i="3" s="1"/>
  <c r="DV46" i="3"/>
  <c r="DV47" i="3" s="1"/>
  <c r="DW46" i="3"/>
  <c r="DW47" i="3" s="1"/>
  <c r="DX46" i="3"/>
  <c r="DX47" i="3" s="1"/>
  <c r="DY46" i="3"/>
  <c r="DZ46" i="3"/>
  <c r="EA46" i="3"/>
  <c r="EA47" i="3" s="1"/>
  <c r="EB46" i="3"/>
  <c r="EC46" i="3"/>
  <c r="ED46" i="3"/>
  <c r="ED47" i="3" s="1"/>
  <c r="EE46" i="3"/>
  <c r="EE47" i="3" s="1"/>
  <c r="EF46" i="3"/>
  <c r="EF47" i="3" s="1"/>
  <c r="EG46" i="3"/>
  <c r="EH46" i="3"/>
  <c r="EI46" i="3"/>
  <c r="EI47" i="3" s="1"/>
  <c r="EJ46" i="3"/>
  <c r="EJ47" i="3" s="1"/>
  <c r="EK46" i="3"/>
  <c r="EL46" i="3"/>
  <c r="EL47" i="3" s="1"/>
  <c r="EM46" i="3"/>
  <c r="EM47" i="3" s="1"/>
  <c r="EN46" i="3"/>
  <c r="EN47" i="3" s="1"/>
  <c r="EO46" i="3"/>
  <c r="EP46" i="3"/>
  <c r="EQ46" i="3"/>
  <c r="ER46" i="3"/>
  <c r="ER47" i="3" s="1"/>
  <c r="ES46" i="3"/>
  <c r="ES47" i="3" s="1"/>
  <c r="ET46" i="3"/>
  <c r="ET47" i="3" s="1"/>
  <c r="EU46" i="3"/>
  <c r="EU47" i="3" s="1"/>
  <c r="EV46" i="3"/>
  <c r="EV47" i="3" s="1"/>
  <c r="EW46" i="3"/>
  <c r="EX46" i="3"/>
  <c r="EY46" i="3"/>
  <c r="EY47" i="3" s="1"/>
  <c r="EZ46" i="3"/>
  <c r="FA46" i="3"/>
  <c r="FB46" i="3"/>
  <c r="FB47" i="3" s="1"/>
  <c r="FC46" i="3"/>
  <c r="FC47" i="3" s="1"/>
  <c r="FD46" i="3"/>
  <c r="FD47" i="3" s="1"/>
  <c r="FE46" i="3"/>
  <c r="FF46" i="3"/>
  <c r="FF47" i="3" s="1"/>
  <c r="FG46" i="3"/>
  <c r="FG47" i="3" s="1"/>
  <c r="FH46" i="3"/>
  <c r="FI46" i="3"/>
  <c r="FI47" i="3" s="1"/>
  <c r="FJ46" i="3"/>
  <c r="FJ47" i="3" s="1"/>
  <c r="FK46" i="3"/>
  <c r="FK47" i="3" s="1"/>
  <c r="FL46" i="3"/>
  <c r="FL47" i="3" s="1"/>
  <c r="FM46" i="3"/>
  <c r="FN46" i="3"/>
  <c r="FN47" i="3" s="1"/>
  <c r="FO46" i="3"/>
  <c r="FO47" i="3" s="1"/>
  <c r="FP46" i="3"/>
  <c r="FP47" i="3" s="1"/>
  <c r="FQ46" i="3"/>
  <c r="FR46" i="3"/>
  <c r="FR47" i="3" s="1"/>
  <c r="I47" i="3"/>
  <c r="J47" i="3"/>
  <c r="L47" i="3"/>
  <c r="M47" i="3"/>
  <c r="Q47" i="3"/>
  <c r="R47" i="3"/>
  <c r="X47" i="3"/>
  <c r="Y47" i="3"/>
  <c r="Z47" i="3"/>
  <c r="AA47" i="3"/>
  <c r="AB47" i="3"/>
  <c r="AC47" i="3"/>
  <c r="AG47" i="3"/>
  <c r="AK47" i="3"/>
  <c r="AO47" i="3"/>
  <c r="AP47" i="3"/>
  <c r="AS47" i="3"/>
  <c r="AW47" i="3"/>
  <c r="AX47" i="3"/>
  <c r="BH47" i="3"/>
  <c r="BM47" i="3"/>
  <c r="BP47" i="3"/>
  <c r="BY47" i="3"/>
  <c r="CA47" i="3"/>
  <c r="CC47" i="3"/>
  <c r="CD47" i="3"/>
  <c r="CK47" i="3"/>
  <c r="CL47" i="3"/>
  <c r="CN47" i="3"/>
  <c r="CO47" i="3"/>
  <c r="CS47" i="3"/>
  <c r="CV47" i="3"/>
  <c r="CW47" i="3"/>
  <c r="DA47" i="3"/>
  <c r="DB47" i="3"/>
  <c r="DE47" i="3"/>
  <c r="DI47" i="3"/>
  <c r="DJ47" i="3"/>
  <c r="DK47" i="3"/>
  <c r="DQ47" i="3"/>
  <c r="DR47" i="3"/>
  <c r="DY47" i="3"/>
  <c r="DZ47" i="3"/>
  <c r="EB47" i="3"/>
  <c r="EC47" i="3"/>
  <c r="EG47" i="3"/>
  <c r="EH47" i="3"/>
  <c r="EK47" i="3"/>
  <c r="EO47" i="3"/>
  <c r="EP47" i="3"/>
  <c r="EQ47" i="3"/>
  <c r="EW47" i="3"/>
  <c r="EX47" i="3"/>
  <c r="EZ47" i="3"/>
  <c r="FA47" i="3"/>
  <c r="FE47" i="3"/>
  <c r="FH47" i="3"/>
  <c r="FM47" i="3"/>
  <c r="FQ47" i="3"/>
  <c r="D53" i="3"/>
  <c r="D54" i="3" s="1"/>
  <c r="E53" i="3"/>
  <c r="E54" i="3" s="1"/>
  <c r="F53" i="3"/>
  <c r="F54" i="3" s="1"/>
  <c r="G53" i="3"/>
  <c r="H53" i="3"/>
  <c r="H54" i="3" s="1"/>
  <c r="I53" i="3"/>
  <c r="J53" i="3"/>
  <c r="J54" i="3" s="1"/>
  <c r="K53" i="3"/>
  <c r="L53" i="3"/>
  <c r="M53" i="3"/>
  <c r="M54" i="3" s="1"/>
  <c r="N53" i="3"/>
  <c r="N54" i="3" s="1"/>
  <c r="O53" i="3"/>
  <c r="O54" i="3" s="1"/>
  <c r="P53" i="3"/>
  <c r="Q53" i="3"/>
  <c r="R53" i="3"/>
  <c r="R54" i="3" s="1"/>
  <c r="S53" i="3"/>
  <c r="T53" i="3"/>
  <c r="U53" i="3"/>
  <c r="U54" i="3" s="1"/>
  <c r="V53" i="3"/>
  <c r="V54" i="3" s="1"/>
  <c r="W53" i="3"/>
  <c r="W54" i="3" s="1"/>
  <c r="X53" i="3"/>
  <c r="X54" i="3" s="1"/>
  <c r="Y53" i="3"/>
  <c r="Z53" i="3"/>
  <c r="Z54" i="3" s="1"/>
  <c r="AA53" i="3"/>
  <c r="AB53" i="3"/>
  <c r="AC53" i="3"/>
  <c r="AC54" i="3" s="1"/>
  <c r="AD53" i="3"/>
  <c r="AD54" i="3" s="1"/>
  <c r="AE53" i="3"/>
  <c r="AE54" i="3" s="1"/>
  <c r="AF53" i="3"/>
  <c r="AG53" i="3"/>
  <c r="AH53" i="3"/>
  <c r="AH54" i="3" s="1"/>
  <c r="AI53" i="3"/>
  <c r="AJ53" i="3"/>
  <c r="AK53" i="3"/>
  <c r="AK54" i="3" s="1"/>
  <c r="AL53" i="3"/>
  <c r="AL54" i="3" s="1"/>
  <c r="AM53" i="3"/>
  <c r="AM54" i="3" s="1"/>
  <c r="AN53" i="3"/>
  <c r="AN54" i="3" s="1"/>
  <c r="AO53" i="3"/>
  <c r="AO54" i="3" s="1"/>
  <c r="AP53" i="3"/>
  <c r="AP54" i="3" s="1"/>
  <c r="AQ53" i="3"/>
  <c r="AR53" i="3"/>
  <c r="AS53" i="3"/>
  <c r="AS54" i="3" s="1"/>
  <c r="AT53" i="3"/>
  <c r="AT54" i="3" s="1"/>
  <c r="AU53" i="3"/>
  <c r="AU54" i="3" s="1"/>
  <c r="AV53" i="3"/>
  <c r="AW53" i="3"/>
  <c r="AX53" i="3"/>
  <c r="AX54" i="3" s="1"/>
  <c r="AY53" i="3"/>
  <c r="AZ53" i="3"/>
  <c r="BA53" i="3"/>
  <c r="BA54" i="3" s="1"/>
  <c r="BB53" i="3"/>
  <c r="BB54" i="3" s="1"/>
  <c r="BC53" i="3"/>
  <c r="BC54" i="3" s="1"/>
  <c r="BD53" i="3"/>
  <c r="BD54" i="3" s="1"/>
  <c r="BE53" i="3"/>
  <c r="BE54" i="3" s="1"/>
  <c r="BF53" i="3"/>
  <c r="BF54" i="3" s="1"/>
  <c r="BG53" i="3"/>
  <c r="BH53" i="3"/>
  <c r="BI53" i="3"/>
  <c r="BI54" i="3" s="1"/>
  <c r="BJ53" i="3"/>
  <c r="BJ54" i="3" s="1"/>
  <c r="BK53" i="3"/>
  <c r="BK54" i="3" s="1"/>
  <c r="BL53" i="3"/>
  <c r="BM53" i="3"/>
  <c r="BM54" i="3" s="1"/>
  <c r="BN53" i="3"/>
  <c r="BN54" i="3" s="1"/>
  <c r="BO53" i="3"/>
  <c r="BP53" i="3"/>
  <c r="BP54" i="3" s="1"/>
  <c r="BQ53" i="3"/>
  <c r="BQ54" i="3" s="1"/>
  <c r="BR53" i="3"/>
  <c r="BR54" i="3" s="1"/>
  <c r="BS53" i="3"/>
  <c r="BT53" i="3"/>
  <c r="BT54" i="3" s="1"/>
  <c r="BU53" i="3"/>
  <c r="BV53" i="3"/>
  <c r="BV54" i="3" s="1"/>
  <c r="BW53" i="3"/>
  <c r="BX53" i="3"/>
  <c r="BY53" i="3"/>
  <c r="BY54" i="3" s="1"/>
  <c r="BZ53" i="3"/>
  <c r="BZ54" i="3" s="1"/>
  <c r="CA53" i="3"/>
  <c r="CA54" i="3" s="1"/>
  <c r="CB53" i="3"/>
  <c r="CC53" i="3"/>
  <c r="CC54" i="3" s="1"/>
  <c r="CD53" i="3"/>
  <c r="CD54" i="3" s="1"/>
  <c r="CE53" i="3"/>
  <c r="CF53" i="3"/>
  <c r="CF54" i="3" s="1"/>
  <c r="CG53" i="3"/>
  <c r="CG54" i="3" s="1"/>
  <c r="CH53" i="3"/>
  <c r="CH54" i="3" s="1"/>
  <c r="CI53" i="3"/>
  <c r="CJ53" i="3"/>
  <c r="CJ54" i="3" s="1"/>
  <c r="CK53" i="3"/>
  <c r="CL53" i="3"/>
  <c r="CM53" i="3"/>
  <c r="CN53" i="3"/>
  <c r="CO53" i="3"/>
  <c r="CO54" i="3" s="1"/>
  <c r="CP53" i="3"/>
  <c r="CP54" i="3" s="1"/>
  <c r="CQ53" i="3"/>
  <c r="CQ54" i="3" s="1"/>
  <c r="CR53" i="3"/>
  <c r="CS53" i="3"/>
  <c r="CT53" i="3"/>
  <c r="CT54" i="3" s="1"/>
  <c r="CU53" i="3"/>
  <c r="CV53" i="3"/>
  <c r="CW53" i="3"/>
  <c r="CW54" i="3" s="1"/>
  <c r="CX53" i="3"/>
  <c r="CX54" i="3" s="1"/>
  <c r="CY53" i="3"/>
  <c r="CZ53" i="3"/>
  <c r="DA53" i="3"/>
  <c r="DB53" i="3"/>
  <c r="DB54" i="3" s="1"/>
  <c r="DC53" i="3"/>
  <c r="DD53" i="3"/>
  <c r="DE53" i="3"/>
  <c r="DE54" i="3" s="1"/>
  <c r="DF53" i="3"/>
  <c r="DF54" i="3" s="1"/>
  <c r="DG53" i="3"/>
  <c r="DG54" i="3" s="1"/>
  <c r="DH53" i="3"/>
  <c r="DI53" i="3"/>
  <c r="DJ53" i="3"/>
  <c r="DK53" i="3"/>
  <c r="DL53" i="3"/>
  <c r="DM53" i="3"/>
  <c r="DM54" i="3" s="1"/>
  <c r="DN53" i="3"/>
  <c r="DN54" i="3" s="1"/>
  <c r="DO53" i="3"/>
  <c r="DP53" i="3"/>
  <c r="DQ53" i="3"/>
  <c r="DR53" i="3"/>
  <c r="DR54" i="3" s="1"/>
  <c r="DS53" i="3"/>
  <c r="DT53" i="3"/>
  <c r="DU53" i="3"/>
  <c r="DU54" i="3" s="1"/>
  <c r="DV53" i="3"/>
  <c r="DV54" i="3" s="1"/>
  <c r="DW53" i="3"/>
  <c r="DW54" i="3" s="1"/>
  <c r="DX53" i="3"/>
  <c r="DY53" i="3"/>
  <c r="DZ53" i="3"/>
  <c r="DZ54" i="3" s="1"/>
  <c r="EA53" i="3"/>
  <c r="EB53" i="3"/>
  <c r="EC53" i="3"/>
  <c r="EC54" i="3" s="1"/>
  <c r="ED53" i="3"/>
  <c r="ED54" i="3" s="1"/>
  <c r="EE53" i="3"/>
  <c r="EE54" i="3" s="1"/>
  <c r="EF53" i="3"/>
  <c r="EG53" i="3"/>
  <c r="EH53" i="3"/>
  <c r="EH54" i="3" s="1"/>
  <c r="EI53" i="3"/>
  <c r="EJ53" i="3"/>
  <c r="EK53" i="3"/>
  <c r="EK54" i="3" s="1"/>
  <c r="EL53" i="3"/>
  <c r="EL54" i="3" s="1"/>
  <c r="EM53" i="3"/>
  <c r="EM54" i="3" s="1"/>
  <c r="EN53" i="3"/>
  <c r="EO53" i="3"/>
  <c r="EP53" i="3"/>
  <c r="EP54" i="3" s="1"/>
  <c r="EQ53" i="3"/>
  <c r="ER53" i="3"/>
  <c r="ES53" i="3"/>
  <c r="ES54" i="3" s="1"/>
  <c r="ET53" i="3"/>
  <c r="ET54" i="3" s="1"/>
  <c r="EU53" i="3"/>
  <c r="EU54" i="3" s="1"/>
  <c r="EV53" i="3"/>
  <c r="EW53" i="3"/>
  <c r="EX53" i="3"/>
  <c r="EX54" i="3" s="1"/>
  <c r="EY53" i="3"/>
  <c r="EZ53" i="3"/>
  <c r="FA53" i="3"/>
  <c r="FA54" i="3" s="1"/>
  <c r="FB53" i="3"/>
  <c r="FB54" i="3" s="1"/>
  <c r="FC53" i="3"/>
  <c r="FC54" i="3" s="1"/>
  <c r="FD53" i="3"/>
  <c r="FE53" i="3"/>
  <c r="FF53" i="3"/>
  <c r="FF54" i="3" s="1"/>
  <c r="FG53" i="3"/>
  <c r="FH53" i="3"/>
  <c r="FI53" i="3"/>
  <c r="FI54" i="3" s="1"/>
  <c r="FJ53" i="3"/>
  <c r="FJ54" i="3" s="1"/>
  <c r="FK53" i="3"/>
  <c r="FL53" i="3"/>
  <c r="FM53" i="3"/>
  <c r="FM54" i="3" s="1"/>
  <c r="FN53" i="3"/>
  <c r="FN54" i="3" s="1"/>
  <c r="FO53" i="3"/>
  <c r="FP53" i="3"/>
  <c r="FQ53" i="3"/>
  <c r="FQ54" i="3" s="1"/>
  <c r="FR53" i="3"/>
  <c r="FR54" i="3" s="1"/>
  <c r="G54" i="3"/>
  <c r="I54" i="3"/>
  <c r="K54" i="3"/>
  <c r="L54" i="3"/>
  <c r="P54" i="3"/>
  <c r="Q54" i="3"/>
  <c r="S54" i="3"/>
  <c r="T54" i="3"/>
  <c r="Y54" i="3"/>
  <c r="AA54" i="3"/>
  <c r="AB54" i="3"/>
  <c r="AF54" i="3"/>
  <c r="AG54" i="3"/>
  <c r="AI54" i="3"/>
  <c r="AJ54" i="3"/>
  <c r="AQ54" i="3"/>
  <c r="AR54" i="3"/>
  <c r="AV54" i="3"/>
  <c r="AW54" i="3"/>
  <c r="AY54" i="3"/>
  <c r="AZ54" i="3"/>
  <c r="BG54" i="3"/>
  <c r="BH54" i="3"/>
  <c r="BL54" i="3"/>
  <c r="BO54" i="3"/>
  <c r="BS54" i="3"/>
  <c r="BU54" i="3"/>
  <c r="BW54" i="3"/>
  <c r="BX54" i="3"/>
  <c r="CB54" i="3"/>
  <c r="CE54" i="3"/>
  <c r="CI54" i="3"/>
  <c r="CK54" i="3"/>
  <c r="CL54" i="3"/>
  <c r="CM54" i="3"/>
  <c r="CN54" i="3"/>
  <c r="CR54" i="3"/>
  <c r="CS54" i="3"/>
  <c r="CU54" i="3"/>
  <c r="CV54" i="3"/>
  <c r="CY54" i="3"/>
  <c r="CZ54" i="3"/>
  <c r="DA54" i="3"/>
  <c r="DC54" i="3"/>
  <c r="DD54" i="3"/>
  <c r="DH54" i="3"/>
  <c r="DI54" i="3"/>
  <c r="DJ54" i="3"/>
  <c r="DK54" i="3"/>
  <c r="DL54" i="3"/>
  <c r="DO54" i="3"/>
  <c r="DP54" i="3"/>
  <c r="DQ54" i="3"/>
  <c r="DS54" i="3"/>
  <c r="DT54" i="3"/>
  <c r="DX54" i="3"/>
  <c r="DY54" i="3"/>
  <c r="EA54" i="3"/>
  <c r="EB54" i="3"/>
  <c r="EF54" i="3"/>
  <c r="EG54" i="3"/>
  <c r="EI54" i="3"/>
  <c r="EJ54" i="3"/>
  <c r="EN54" i="3"/>
  <c r="EO54" i="3"/>
  <c r="EQ54" i="3"/>
  <c r="ER54" i="3"/>
  <c r="EV54" i="3"/>
  <c r="EW54" i="3"/>
  <c r="EY54" i="3"/>
  <c r="EZ54" i="3"/>
  <c r="FD54" i="3"/>
  <c r="FE54" i="3"/>
  <c r="FG54" i="3"/>
  <c r="FH54" i="3"/>
  <c r="FK54" i="3"/>
  <c r="FL54" i="3"/>
  <c r="FO54" i="3"/>
  <c r="FP54" i="3"/>
  <c r="D60" i="3"/>
  <c r="E60" i="3"/>
  <c r="E61" i="3" s="1"/>
  <c r="F60" i="3"/>
  <c r="F61" i="3" s="1"/>
  <c r="G60" i="3"/>
  <c r="G61" i="3" s="1"/>
  <c r="H60" i="3"/>
  <c r="H61" i="3" s="1"/>
  <c r="I60" i="3"/>
  <c r="J60" i="3"/>
  <c r="K60" i="3"/>
  <c r="L60" i="3"/>
  <c r="M60" i="3"/>
  <c r="N60" i="3"/>
  <c r="N61" i="3" s="1"/>
  <c r="O60" i="3"/>
  <c r="O61" i="3" s="1"/>
  <c r="P60" i="3"/>
  <c r="P61" i="3" s="1"/>
  <c r="Q60" i="3"/>
  <c r="Q61" i="3" s="1"/>
  <c r="R60" i="3"/>
  <c r="S60" i="3"/>
  <c r="S61" i="3" s="1"/>
  <c r="T60" i="3"/>
  <c r="U60" i="3"/>
  <c r="U61" i="3" s="1"/>
  <c r="V60" i="3"/>
  <c r="W60" i="3"/>
  <c r="W61" i="3" s="1"/>
  <c r="X60" i="3"/>
  <c r="X61" i="3" s="1"/>
  <c r="Y60" i="3"/>
  <c r="Y61" i="3" s="1"/>
  <c r="Z60" i="3"/>
  <c r="Z61" i="3" s="1"/>
  <c r="AA60" i="3"/>
  <c r="AA61" i="3" s="1"/>
  <c r="AB60" i="3"/>
  <c r="AC60" i="3"/>
  <c r="AC61" i="3" s="1"/>
  <c r="AD60" i="3"/>
  <c r="AE60" i="3"/>
  <c r="AE61" i="3" s="1"/>
  <c r="AF60" i="3"/>
  <c r="AG60" i="3"/>
  <c r="AG61" i="3" s="1"/>
  <c r="AH60" i="3"/>
  <c r="AI60" i="3"/>
  <c r="AI61" i="3" s="1"/>
  <c r="AJ60" i="3"/>
  <c r="AK60" i="3"/>
  <c r="AK61" i="3" s="1"/>
  <c r="AL60" i="3"/>
  <c r="AL61" i="3" s="1"/>
  <c r="AM60" i="3"/>
  <c r="AM61" i="3" s="1"/>
  <c r="AN60" i="3"/>
  <c r="AN61" i="3" s="1"/>
  <c r="AO60" i="3"/>
  <c r="AO61" i="3" s="1"/>
  <c r="AP60" i="3"/>
  <c r="AQ60" i="3"/>
  <c r="AR60" i="3"/>
  <c r="AS60" i="3"/>
  <c r="AS61" i="3" s="1"/>
  <c r="AT60" i="3"/>
  <c r="AT61" i="3" s="1"/>
  <c r="AU60" i="3"/>
  <c r="AU61" i="3" s="1"/>
  <c r="AV60" i="3"/>
  <c r="AV61" i="3" s="1"/>
  <c r="AW60" i="3"/>
  <c r="AW61" i="3" s="1"/>
  <c r="AX60" i="3"/>
  <c r="AX61" i="3" s="1"/>
  <c r="AY60" i="3"/>
  <c r="AY61" i="3" s="1"/>
  <c r="AZ60" i="3"/>
  <c r="AZ61" i="3" s="1"/>
  <c r="BA60" i="3"/>
  <c r="BA61" i="3" s="1"/>
  <c r="BB60" i="3"/>
  <c r="BC60" i="3"/>
  <c r="BC61" i="3" s="1"/>
  <c r="BD60" i="3"/>
  <c r="BD61" i="3" s="1"/>
  <c r="BE60" i="3"/>
  <c r="BF60" i="3"/>
  <c r="BG60" i="3"/>
  <c r="BG61" i="3" s="1"/>
  <c r="BH60" i="3"/>
  <c r="BH61" i="3" s="1"/>
  <c r="BI60" i="3"/>
  <c r="BI61" i="3" s="1"/>
  <c r="BJ60" i="3"/>
  <c r="BJ61" i="3" s="1"/>
  <c r="BK60" i="3"/>
  <c r="BK61" i="3" s="1"/>
  <c r="BL60" i="3"/>
  <c r="BL61" i="3" s="1"/>
  <c r="BM60" i="3"/>
  <c r="BM61" i="3" s="1"/>
  <c r="BN60" i="3"/>
  <c r="BN61" i="3" s="1"/>
  <c r="BO60" i="3"/>
  <c r="BO61" i="3" s="1"/>
  <c r="BP60" i="3"/>
  <c r="BQ60" i="3"/>
  <c r="BQ61" i="3" s="1"/>
  <c r="BR60" i="3"/>
  <c r="BR61" i="3" s="1"/>
  <c r="BS60" i="3"/>
  <c r="BS61" i="3" s="1"/>
  <c r="BT60" i="3"/>
  <c r="BU60" i="3"/>
  <c r="BV60" i="3"/>
  <c r="BW60" i="3"/>
  <c r="BW61" i="3" s="1"/>
  <c r="BX60" i="3"/>
  <c r="BX61" i="3" s="1"/>
  <c r="BY60" i="3"/>
  <c r="BY61" i="3" s="1"/>
  <c r="BZ60" i="3"/>
  <c r="BZ61" i="3" s="1"/>
  <c r="CA60" i="3"/>
  <c r="CA61" i="3" s="1"/>
  <c r="CB60" i="3"/>
  <c r="CB61" i="3" s="1"/>
  <c r="CC60" i="3"/>
  <c r="CC61" i="3" s="1"/>
  <c r="CD60" i="3"/>
  <c r="CD61" i="3" s="1"/>
  <c r="CE60" i="3"/>
  <c r="CE61" i="3" s="1"/>
  <c r="CF60" i="3"/>
  <c r="CG60" i="3"/>
  <c r="CG61" i="3" s="1"/>
  <c r="CH60" i="3"/>
  <c r="CI60" i="3"/>
  <c r="CI61" i="3" s="1"/>
  <c r="CJ60" i="3"/>
  <c r="CJ61" i="3" s="1"/>
  <c r="CK60" i="3"/>
  <c r="CK61" i="3" s="1"/>
  <c r="CL60" i="3"/>
  <c r="CM60" i="3"/>
  <c r="CM61" i="3" s="1"/>
  <c r="CN60" i="3"/>
  <c r="CO60" i="3"/>
  <c r="CO61" i="3" s="1"/>
  <c r="CP60" i="3"/>
  <c r="CQ60" i="3"/>
  <c r="CQ61" i="3" s="1"/>
  <c r="CR60" i="3"/>
  <c r="CS60" i="3"/>
  <c r="CT60" i="3"/>
  <c r="CU60" i="3"/>
  <c r="CV60" i="3"/>
  <c r="CV61" i="3" s="1"/>
  <c r="CW60" i="3"/>
  <c r="CW61" i="3" s="1"/>
  <c r="CX60" i="3"/>
  <c r="CX61" i="3" s="1"/>
  <c r="CY60" i="3"/>
  <c r="CY61" i="3" s="1"/>
  <c r="CZ60" i="3"/>
  <c r="DA60" i="3"/>
  <c r="DB60" i="3"/>
  <c r="DC60" i="3"/>
  <c r="DC61" i="3" s="1"/>
  <c r="DD60" i="3"/>
  <c r="DE60" i="3"/>
  <c r="DE61" i="3" s="1"/>
  <c r="DF60" i="3"/>
  <c r="DF61" i="3" s="1"/>
  <c r="DG60" i="3"/>
  <c r="DG61" i="3" s="1"/>
  <c r="DH60" i="3"/>
  <c r="DI60" i="3"/>
  <c r="DJ60" i="3"/>
  <c r="DK60" i="3"/>
  <c r="DL60" i="3"/>
  <c r="DL61" i="3" s="1"/>
  <c r="DM60" i="3"/>
  <c r="DM61" i="3" s="1"/>
  <c r="DN60" i="3"/>
  <c r="DO60" i="3"/>
  <c r="DO61" i="3" s="1"/>
  <c r="DP60" i="3"/>
  <c r="DQ60" i="3"/>
  <c r="DR60" i="3"/>
  <c r="DS60" i="3"/>
  <c r="DS61" i="3" s="1"/>
  <c r="DT60" i="3"/>
  <c r="DT61" i="3" s="1"/>
  <c r="DU60" i="3"/>
  <c r="DU61" i="3" s="1"/>
  <c r="DV60" i="3"/>
  <c r="DV61" i="3" s="1"/>
  <c r="DW60" i="3"/>
  <c r="DW61" i="3" s="1"/>
  <c r="DX60" i="3"/>
  <c r="DY60" i="3"/>
  <c r="DZ60" i="3"/>
  <c r="EA60" i="3"/>
  <c r="EA61" i="3" s="1"/>
  <c r="EB60" i="3"/>
  <c r="EB61" i="3" s="1"/>
  <c r="EC60" i="3"/>
  <c r="EC61" i="3" s="1"/>
  <c r="ED60" i="3"/>
  <c r="ED61" i="3" s="1"/>
  <c r="EE60" i="3"/>
  <c r="EE61" i="3" s="1"/>
  <c r="EF60" i="3"/>
  <c r="EG60" i="3"/>
  <c r="EH60" i="3"/>
  <c r="EI60" i="3"/>
  <c r="EI61" i="3" s="1"/>
  <c r="EJ60" i="3"/>
  <c r="EJ61" i="3" s="1"/>
  <c r="EK60" i="3"/>
  <c r="EK61" i="3" s="1"/>
  <c r="EL60" i="3"/>
  <c r="EL61" i="3" s="1"/>
  <c r="EM60" i="3"/>
  <c r="EM61" i="3" s="1"/>
  <c r="EN60" i="3"/>
  <c r="EO60" i="3"/>
  <c r="EP60" i="3"/>
  <c r="EQ60" i="3"/>
  <c r="EQ61" i="3" s="1"/>
  <c r="ER60" i="3"/>
  <c r="ES60" i="3"/>
  <c r="ES61" i="3" s="1"/>
  <c r="ET60" i="3"/>
  <c r="EU60" i="3"/>
  <c r="EU61" i="3" s="1"/>
  <c r="EV60" i="3"/>
  <c r="EW60" i="3"/>
  <c r="EX60" i="3"/>
  <c r="EY60" i="3"/>
  <c r="EY61" i="3" s="1"/>
  <c r="EZ60" i="3"/>
  <c r="EZ61" i="3" s="1"/>
  <c r="FA60" i="3"/>
  <c r="FA61" i="3" s="1"/>
  <c r="FB60" i="3"/>
  <c r="FC60" i="3"/>
  <c r="FC61" i="3" s="1"/>
  <c r="FD60" i="3"/>
  <c r="FE60" i="3"/>
  <c r="FF60" i="3"/>
  <c r="FG60" i="3"/>
  <c r="FG61" i="3" s="1"/>
  <c r="FH60" i="3"/>
  <c r="FI60" i="3"/>
  <c r="FI61" i="3" s="1"/>
  <c r="FJ60" i="3"/>
  <c r="FJ61" i="3" s="1"/>
  <c r="FK60" i="3"/>
  <c r="FK61" i="3" s="1"/>
  <c r="FL60" i="3"/>
  <c r="FM60" i="3"/>
  <c r="FN60" i="3"/>
  <c r="FO60" i="3"/>
  <c r="FO61" i="3" s="1"/>
  <c r="FP60" i="3"/>
  <c r="FQ60" i="3"/>
  <c r="FR60" i="3"/>
  <c r="FR61" i="3" s="1"/>
  <c r="D61" i="3"/>
  <c r="I61" i="3"/>
  <c r="J61" i="3"/>
  <c r="K61" i="3"/>
  <c r="L61" i="3"/>
  <c r="M61" i="3"/>
  <c r="R61" i="3"/>
  <c r="T61" i="3"/>
  <c r="V61" i="3"/>
  <c r="AB61" i="3"/>
  <c r="AD61" i="3"/>
  <c r="AF61" i="3"/>
  <c r="AH61" i="3"/>
  <c r="AJ61" i="3"/>
  <c r="AP61" i="3"/>
  <c r="AQ61" i="3"/>
  <c r="AR61" i="3"/>
  <c r="BB61" i="3"/>
  <c r="BE61" i="3"/>
  <c r="BF61" i="3"/>
  <c r="BP61" i="3"/>
  <c r="BT61" i="3"/>
  <c r="BU61" i="3"/>
  <c r="BV61" i="3"/>
  <c r="CF61" i="3"/>
  <c r="CH61" i="3"/>
  <c r="CL61" i="3"/>
  <c r="CN61" i="3"/>
  <c r="CP61" i="3"/>
  <c r="CR61" i="3"/>
  <c r="CS61" i="3"/>
  <c r="CT61" i="3"/>
  <c r="CU61" i="3"/>
  <c r="CZ61" i="3"/>
  <c r="DA61" i="3"/>
  <c r="DB61" i="3"/>
  <c r="DD61" i="3"/>
  <c r="DH61" i="3"/>
  <c r="DI61" i="3"/>
  <c r="DJ61" i="3"/>
  <c r="DK61" i="3"/>
  <c r="DN61" i="3"/>
  <c r="DP61" i="3"/>
  <c r="DQ61" i="3"/>
  <c r="DR61" i="3"/>
  <c r="DX61" i="3"/>
  <c r="DY61" i="3"/>
  <c r="DZ61" i="3"/>
  <c r="EF61" i="3"/>
  <c r="EG61" i="3"/>
  <c r="EH61" i="3"/>
  <c r="EN61" i="3"/>
  <c r="EO61" i="3"/>
  <c r="EP61" i="3"/>
  <c r="ER61" i="3"/>
  <c r="ET61" i="3"/>
  <c r="EV61" i="3"/>
  <c r="EW61" i="3"/>
  <c r="EX61" i="3"/>
  <c r="FB61" i="3"/>
  <c r="FD61" i="3"/>
  <c r="FE61" i="3"/>
  <c r="FF61" i="3"/>
  <c r="FH61" i="3"/>
  <c r="FL61" i="3"/>
  <c r="FM61" i="3"/>
  <c r="FN61" i="3"/>
  <c r="FP61" i="3"/>
  <c r="FQ61" i="3"/>
  <c r="D68" i="3"/>
  <c r="E68" i="3"/>
  <c r="E69" i="3" s="1"/>
  <c r="F68" i="3"/>
  <c r="F69" i="3" s="1"/>
  <c r="G68" i="3"/>
  <c r="G69" i="3" s="1"/>
  <c r="H68" i="3"/>
  <c r="I68" i="3"/>
  <c r="I69" i="3" s="1"/>
  <c r="J68" i="3"/>
  <c r="J69" i="3" s="1"/>
  <c r="K68" i="3"/>
  <c r="K69" i="3" s="1"/>
  <c r="L68" i="3"/>
  <c r="L69" i="3" s="1"/>
  <c r="M68" i="3"/>
  <c r="M69" i="3" s="1"/>
  <c r="N68" i="3"/>
  <c r="N69" i="3" s="1"/>
  <c r="O68" i="3"/>
  <c r="O69" i="3" s="1"/>
  <c r="P68" i="3"/>
  <c r="Q68" i="3"/>
  <c r="Q69" i="3" s="1"/>
  <c r="R68" i="3"/>
  <c r="R69" i="3" s="1"/>
  <c r="S68" i="3"/>
  <c r="S69" i="3" s="1"/>
  <c r="T68" i="3"/>
  <c r="U68" i="3"/>
  <c r="U69" i="3" s="1"/>
  <c r="V68" i="3"/>
  <c r="V69" i="3" s="1"/>
  <c r="W68" i="3"/>
  <c r="X68" i="3"/>
  <c r="Y68" i="3"/>
  <c r="Y69" i="3" s="1"/>
  <c r="Z68" i="3"/>
  <c r="AA68" i="3"/>
  <c r="AA69" i="3" s="1"/>
  <c r="AB68" i="3"/>
  <c r="AC68" i="3"/>
  <c r="AC69" i="3" s="1"/>
  <c r="AD68" i="3"/>
  <c r="AD69" i="3" s="1"/>
  <c r="AE68" i="3"/>
  <c r="AE69" i="3" s="1"/>
  <c r="AF68" i="3"/>
  <c r="AG68" i="3"/>
  <c r="AG69" i="3" s="1"/>
  <c r="AH68" i="3"/>
  <c r="AH69" i="3" s="1"/>
  <c r="AI68" i="3"/>
  <c r="AI69" i="3" s="1"/>
  <c r="AJ68" i="3"/>
  <c r="AK68" i="3"/>
  <c r="AK69" i="3" s="1"/>
  <c r="AL68" i="3"/>
  <c r="AL69" i="3" s="1"/>
  <c r="AM68" i="3"/>
  <c r="AN68" i="3"/>
  <c r="AO68" i="3"/>
  <c r="AO69" i="3" s="1"/>
  <c r="AP68" i="3"/>
  <c r="AP69" i="3" s="1"/>
  <c r="AQ68" i="3"/>
  <c r="AQ69" i="3" s="1"/>
  <c r="AR68" i="3"/>
  <c r="AS68" i="3"/>
  <c r="AS69" i="3" s="1"/>
  <c r="AT68" i="3"/>
  <c r="AT69" i="3" s="1"/>
  <c r="AU68" i="3"/>
  <c r="AU69" i="3" s="1"/>
  <c r="AV68" i="3"/>
  <c r="AV69" i="3" s="1"/>
  <c r="AW68" i="3"/>
  <c r="AW69" i="3" s="1"/>
  <c r="AX68" i="3"/>
  <c r="AX69" i="3" s="1"/>
  <c r="AY68" i="3"/>
  <c r="AY69" i="3" s="1"/>
  <c r="AZ68" i="3"/>
  <c r="AZ69" i="3" s="1"/>
  <c r="BA68" i="3"/>
  <c r="BA69" i="3" s="1"/>
  <c r="BB68" i="3"/>
  <c r="BB69" i="3" s="1"/>
  <c r="BC68" i="3"/>
  <c r="BC69" i="3" s="1"/>
  <c r="BD68" i="3"/>
  <c r="BE68" i="3"/>
  <c r="BE69" i="3" s="1"/>
  <c r="BF68" i="3"/>
  <c r="BF69" i="3" s="1"/>
  <c r="BG68" i="3"/>
  <c r="BG69" i="3" s="1"/>
  <c r="BH68" i="3"/>
  <c r="BI68" i="3"/>
  <c r="BI69" i="3" s="1"/>
  <c r="BJ68" i="3"/>
  <c r="BJ69" i="3" s="1"/>
  <c r="BK68" i="3"/>
  <c r="BK69" i="3" s="1"/>
  <c r="BL68" i="3"/>
  <c r="BL69" i="3" s="1"/>
  <c r="BM68" i="3"/>
  <c r="BM69" i="3" s="1"/>
  <c r="BN68" i="3"/>
  <c r="BN69" i="3" s="1"/>
  <c r="BO68" i="3"/>
  <c r="BO69" i="3" s="1"/>
  <c r="BP68" i="3"/>
  <c r="BP69" i="3" s="1"/>
  <c r="BQ68" i="3"/>
  <c r="BQ69" i="3" s="1"/>
  <c r="BR68" i="3"/>
  <c r="BR69" i="3" s="1"/>
  <c r="BS68" i="3"/>
  <c r="BS69" i="3" s="1"/>
  <c r="BT68" i="3"/>
  <c r="BU68" i="3"/>
  <c r="BU69" i="3" s="1"/>
  <c r="BV68" i="3"/>
  <c r="BV69" i="3" s="1"/>
  <c r="BW68" i="3"/>
  <c r="BW69" i="3" s="1"/>
  <c r="BX68" i="3"/>
  <c r="BY68" i="3"/>
  <c r="BY69" i="3" s="1"/>
  <c r="BZ68" i="3"/>
  <c r="BZ69" i="3" s="1"/>
  <c r="CA68" i="3"/>
  <c r="CB68" i="3"/>
  <c r="CC68" i="3"/>
  <c r="CC69" i="3" s="1"/>
  <c r="CD68" i="3"/>
  <c r="CD69" i="3" s="1"/>
  <c r="CE68" i="3"/>
  <c r="CE69" i="3" s="1"/>
  <c r="CF68" i="3"/>
  <c r="CG68" i="3"/>
  <c r="CG69" i="3" s="1"/>
  <c r="CH68" i="3"/>
  <c r="CH69" i="3" s="1"/>
  <c r="CI68" i="3"/>
  <c r="CI69" i="3" s="1"/>
  <c r="CJ68" i="3"/>
  <c r="CJ69" i="3" s="1"/>
  <c r="CK68" i="3"/>
  <c r="CK69" i="3" s="1"/>
  <c r="CL68" i="3"/>
  <c r="CL69" i="3" s="1"/>
  <c r="CM68" i="3"/>
  <c r="CM69" i="3" s="1"/>
  <c r="CN68" i="3"/>
  <c r="CO68" i="3"/>
  <c r="CO69" i="3" s="1"/>
  <c r="CP68" i="3"/>
  <c r="CP69" i="3" s="1"/>
  <c r="CQ68" i="3"/>
  <c r="CR68" i="3"/>
  <c r="CS68" i="3"/>
  <c r="CS69" i="3" s="1"/>
  <c r="CT68" i="3"/>
  <c r="CT69" i="3" s="1"/>
  <c r="CU68" i="3"/>
  <c r="CU69" i="3" s="1"/>
  <c r="CV68" i="3"/>
  <c r="CW68" i="3"/>
  <c r="CW69" i="3" s="1"/>
  <c r="CX68" i="3"/>
  <c r="CX69" i="3" s="1"/>
  <c r="CY68" i="3"/>
  <c r="CZ68" i="3"/>
  <c r="DA68" i="3"/>
  <c r="DA69" i="3" s="1"/>
  <c r="DB68" i="3"/>
  <c r="DB69" i="3" s="1"/>
  <c r="DC68" i="3"/>
  <c r="DC69" i="3" s="1"/>
  <c r="DD68" i="3"/>
  <c r="DE68" i="3"/>
  <c r="DE69" i="3" s="1"/>
  <c r="DF68" i="3"/>
  <c r="DF69" i="3" s="1"/>
  <c r="DG68" i="3"/>
  <c r="DH68" i="3"/>
  <c r="DI68" i="3"/>
  <c r="DI69" i="3" s="1"/>
  <c r="DJ68" i="3"/>
  <c r="DJ69" i="3" s="1"/>
  <c r="DK68" i="3"/>
  <c r="DK69" i="3" s="1"/>
  <c r="DL68" i="3"/>
  <c r="DM68" i="3"/>
  <c r="DM69" i="3" s="1"/>
  <c r="DN68" i="3"/>
  <c r="DN69" i="3" s="1"/>
  <c r="DO68" i="3"/>
  <c r="DP68" i="3"/>
  <c r="DQ68" i="3"/>
  <c r="DQ69" i="3" s="1"/>
  <c r="DR68" i="3"/>
  <c r="DR69" i="3" s="1"/>
  <c r="DS68" i="3"/>
  <c r="DS69" i="3" s="1"/>
  <c r="DT68" i="3"/>
  <c r="DU68" i="3"/>
  <c r="DU69" i="3" s="1"/>
  <c r="DV68" i="3"/>
  <c r="DV69" i="3" s="1"/>
  <c r="DW68" i="3"/>
  <c r="DX68" i="3"/>
  <c r="DY68" i="3"/>
  <c r="DY69" i="3" s="1"/>
  <c r="DZ68" i="3"/>
  <c r="DZ69" i="3" s="1"/>
  <c r="EA68" i="3"/>
  <c r="EA69" i="3" s="1"/>
  <c r="EB68" i="3"/>
  <c r="EC68" i="3"/>
  <c r="EC69" i="3" s="1"/>
  <c r="ED68" i="3"/>
  <c r="ED69" i="3" s="1"/>
  <c r="EE68" i="3"/>
  <c r="EF68" i="3"/>
  <c r="EG68" i="3"/>
  <c r="EG69" i="3" s="1"/>
  <c r="EH68" i="3"/>
  <c r="EH69" i="3" s="1"/>
  <c r="EI68" i="3"/>
  <c r="EI69" i="3" s="1"/>
  <c r="EJ68" i="3"/>
  <c r="EK68" i="3"/>
  <c r="EK69" i="3" s="1"/>
  <c r="EL68" i="3"/>
  <c r="EL69" i="3" s="1"/>
  <c r="EM68" i="3"/>
  <c r="EN68" i="3"/>
  <c r="EO68" i="3"/>
  <c r="EO69" i="3" s="1"/>
  <c r="EP68" i="3"/>
  <c r="EP69" i="3" s="1"/>
  <c r="EQ68" i="3"/>
  <c r="EQ69" i="3" s="1"/>
  <c r="ER68" i="3"/>
  <c r="ES68" i="3"/>
  <c r="ES69" i="3" s="1"/>
  <c r="ET68" i="3"/>
  <c r="ET69" i="3" s="1"/>
  <c r="EU68" i="3"/>
  <c r="EV68" i="3"/>
  <c r="EW68" i="3"/>
  <c r="EW69" i="3" s="1"/>
  <c r="EX68" i="3"/>
  <c r="EX69" i="3" s="1"/>
  <c r="EY68" i="3"/>
  <c r="EY69" i="3" s="1"/>
  <c r="EZ68" i="3"/>
  <c r="FA68" i="3"/>
  <c r="FA69" i="3" s="1"/>
  <c r="FB68" i="3"/>
  <c r="FB69" i="3" s="1"/>
  <c r="FC68" i="3"/>
  <c r="FD68" i="3"/>
  <c r="FE68" i="3"/>
  <c r="FE69" i="3" s="1"/>
  <c r="FF68" i="3"/>
  <c r="FF69" i="3" s="1"/>
  <c r="FG68" i="3"/>
  <c r="FG69" i="3" s="1"/>
  <c r="FH68" i="3"/>
  <c r="FI68" i="3"/>
  <c r="FI69" i="3" s="1"/>
  <c r="FJ68" i="3"/>
  <c r="FJ69" i="3" s="1"/>
  <c r="FK68" i="3"/>
  <c r="FL68" i="3"/>
  <c r="FM68" i="3"/>
  <c r="FM69" i="3" s="1"/>
  <c r="FN68" i="3"/>
  <c r="FN69" i="3" s="1"/>
  <c r="FO68" i="3"/>
  <c r="FO69" i="3" s="1"/>
  <c r="FP68" i="3"/>
  <c r="FQ68" i="3"/>
  <c r="FQ69" i="3" s="1"/>
  <c r="FR68" i="3"/>
  <c r="FR69" i="3" s="1"/>
  <c r="D69" i="3"/>
  <c r="H69" i="3"/>
  <c r="P69" i="3"/>
  <c r="T69" i="3"/>
  <c r="W69" i="3"/>
  <c r="X69" i="3"/>
  <c r="Z69" i="3"/>
  <c r="AB69" i="3"/>
  <c r="AF69" i="3"/>
  <c r="AJ69" i="3"/>
  <c r="AM69" i="3"/>
  <c r="AN69" i="3"/>
  <c r="AR69" i="3"/>
  <c r="BD69" i="3"/>
  <c r="BH69" i="3"/>
  <c r="BT69" i="3"/>
  <c r="BX69" i="3"/>
  <c r="CA69" i="3"/>
  <c r="CB69" i="3"/>
  <c r="CF69" i="3"/>
  <c r="CN69" i="3"/>
  <c r="CQ69" i="3"/>
  <c r="CR69" i="3"/>
  <c r="CV69" i="3"/>
  <c r="CY69" i="3"/>
  <c r="CZ69" i="3"/>
  <c r="DD69" i="3"/>
  <c r="DG69" i="3"/>
  <c r="DH69" i="3"/>
  <c r="DL69" i="3"/>
  <c r="DO69" i="3"/>
  <c r="DP69" i="3"/>
  <c r="DT69" i="3"/>
  <c r="DW69" i="3"/>
  <c r="DX69" i="3"/>
  <c r="EB69" i="3"/>
  <c r="EE69" i="3"/>
  <c r="EF69" i="3"/>
  <c r="EJ69" i="3"/>
  <c r="EM69" i="3"/>
  <c r="EN69" i="3"/>
  <c r="ER69" i="3"/>
  <c r="EU69" i="3"/>
  <c r="EV69" i="3"/>
  <c r="EZ69" i="3"/>
  <c r="FC69" i="3"/>
  <c r="FD69" i="3"/>
  <c r="FH69" i="3"/>
  <c r="FK69" i="3"/>
  <c r="FL69" i="3"/>
  <c r="FP69" i="3"/>
  <c r="D75" i="3"/>
  <c r="D76" i="3" s="1"/>
  <c r="E75" i="3"/>
  <c r="F75" i="3"/>
  <c r="F76" i="3" s="1"/>
  <c r="G75" i="3"/>
  <c r="G76" i="3" s="1"/>
  <c r="H75" i="3"/>
  <c r="H76" i="3" s="1"/>
  <c r="I75" i="3"/>
  <c r="J75" i="3"/>
  <c r="J76" i="3" s="1"/>
  <c r="K75" i="3"/>
  <c r="K76" i="3" s="1"/>
  <c r="L75" i="3"/>
  <c r="L76" i="3" s="1"/>
  <c r="M75" i="3"/>
  <c r="N75" i="3"/>
  <c r="N76" i="3" s="1"/>
  <c r="O75" i="3"/>
  <c r="O76" i="3" s="1"/>
  <c r="P75" i="3"/>
  <c r="P76" i="3" s="1"/>
  <c r="Q75" i="3"/>
  <c r="Q76" i="3" s="1"/>
  <c r="R75" i="3"/>
  <c r="R76" i="3" s="1"/>
  <c r="S75" i="3"/>
  <c r="S76" i="3" s="1"/>
  <c r="T75" i="3"/>
  <c r="T76" i="3" s="1"/>
  <c r="U75" i="3"/>
  <c r="V75" i="3"/>
  <c r="V76" i="3" s="1"/>
  <c r="W75" i="3"/>
  <c r="W76" i="3" s="1"/>
  <c r="X75" i="3"/>
  <c r="X76" i="3" s="1"/>
  <c r="Y75" i="3"/>
  <c r="Z75" i="3"/>
  <c r="AA75" i="3"/>
  <c r="AA76" i="3" s="1"/>
  <c r="AB75" i="3"/>
  <c r="AB76" i="3" s="1"/>
  <c r="AC75" i="3"/>
  <c r="AD75" i="3"/>
  <c r="AD76" i="3" s="1"/>
  <c r="AE75" i="3"/>
  <c r="AE76" i="3" s="1"/>
  <c r="AF75" i="3"/>
  <c r="AF76" i="3" s="1"/>
  <c r="AG75" i="3"/>
  <c r="AH75" i="3"/>
  <c r="AI75" i="3"/>
  <c r="AI76" i="3" s="1"/>
  <c r="AJ75" i="3"/>
  <c r="AJ76" i="3" s="1"/>
  <c r="AK75" i="3"/>
  <c r="AK76" i="3" s="1"/>
  <c r="AL75" i="3"/>
  <c r="AL76" i="3" s="1"/>
  <c r="AM75" i="3"/>
  <c r="AM76" i="3" s="1"/>
  <c r="AN75" i="3"/>
  <c r="AN76" i="3" s="1"/>
  <c r="AO75" i="3"/>
  <c r="AO76" i="3" s="1"/>
  <c r="AP75" i="3"/>
  <c r="AP76" i="3" s="1"/>
  <c r="AQ75" i="3"/>
  <c r="AQ76" i="3" s="1"/>
  <c r="AR75" i="3"/>
  <c r="AR76" i="3" s="1"/>
  <c r="AS75" i="3"/>
  <c r="AT75" i="3"/>
  <c r="AT76" i="3" s="1"/>
  <c r="AU75" i="3"/>
  <c r="AU76" i="3" s="1"/>
  <c r="AV75" i="3"/>
  <c r="AV76" i="3" s="1"/>
  <c r="AW75" i="3"/>
  <c r="AX75" i="3"/>
  <c r="AY75" i="3"/>
  <c r="AY76" i="3" s="1"/>
  <c r="AZ75" i="3"/>
  <c r="AZ76" i="3" s="1"/>
  <c r="BA75" i="3"/>
  <c r="BB75" i="3"/>
  <c r="BB76" i="3" s="1"/>
  <c r="BC75" i="3"/>
  <c r="BC76" i="3" s="1"/>
  <c r="BD75" i="3"/>
  <c r="BD76" i="3" s="1"/>
  <c r="BE75" i="3"/>
  <c r="BF75" i="3"/>
  <c r="BF76" i="3" s="1"/>
  <c r="BG75" i="3"/>
  <c r="BG76" i="3" s="1"/>
  <c r="BH75" i="3"/>
  <c r="BH76" i="3" s="1"/>
  <c r="BI75" i="3"/>
  <c r="BI76" i="3" s="1"/>
  <c r="BJ75" i="3"/>
  <c r="BJ76" i="3" s="1"/>
  <c r="BK75" i="3"/>
  <c r="BK76" i="3" s="1"/>
  <c r="BL75" i="3"/>
  <c r="BL76" i="3" s="1"/>
  <c r="BM75" i="3"/>
  <c r="BN75" i="3"/>
  <c r="BN76" i="3" s="1"/>
  <c r="BO75" i="3"/>
  <c r="BO76" i="3" s="1"/>
  <c r="BP75" i="3"/>
  <c r="BP76" i="3" s="1"/>
  <c r="BQ75" i="3"/>
  <c r="BR75" i="3"/>
  <c r="BR76" i="3" s="1"/>
  <c r="BS75" i="3"/>
  <c r="BS76" i="3" s="1"/>
  <c r="BT75" i="3"/>
  <c r="BT76" i="3" s="1"/>
  <c r="BU75" i="3"/>
  <c r="BV75" i="3"/>
  <c r="BV76" i="3" s="1"/>
  <c r="BW75" i="3"/>
  <c r="BW76" i="3" s="1"/>
  <c r="BX75" i="3"/>
  <c r="BX76" i="3" s="1"/>
  <c r="BY75" i="3"/>
  <c r="BZ75" i="3"/>
  <c r="BZ76" i="3" s="1"/>
  <c r="CA75" i="3"/>
  <c r="CA76" i="3" s="1"/>
  <c r="CB75" i="3"/>
  <c r="CB76" i="3" s="1"/>
  <c r="CC75" i="3"/>
  <c r="CC76" i="3" s="1"/>
  <c r="CD75" i="3"/>
  <c r="CD76" i="3" s="1"/>
  <c r="CE75" i="3"/>
  <c r="CE76" i="3" s="1"/>
  <c r="CF75" i="3"/>
  <c r="CF76" i="3" s="1"/>
  <c r="CG75" i="3"/>
  <c r="CH75" i="3"/>
  <c r="CH76" i="3" s="1"/>
  <c r="CI75" i="3"/>
  <c r="CI76" i="3" s="1"/>
  <c r="CJ75" i="3"/>
  <c r="CJ76" i="3" s="1"/>
  <c r="CK75" i="3"/>
  <c r="CL75" i="3"/>
  <c r="CM75" i="3"/>
  <c r="CM76" i="3" s="1"/>
  <c r="CN75" i="3"/>
  <c r="CN76" i="3" s="1"/>
  <c r="CO75" i="3"/>
  <c r="CP75" i="3"/>
  <c r="CP76" i="3" s="1"/>
  <c r="CQ75" i="3"/>
  <c r="CQ76" i="3" s="1"/>
  <c r="CR75" i="3"/>
  <c r="CR76" i="3" s="1"/>
  <c r="CS75" i="3"/>
  <c r="CT75" i="3"/>
  <c r="CU75" i="3"/>
  <c r="CU76" i="3" s="1"/>
  <c r="CV75" i="3"/>
  <c r="CV76" i="3" s="1"/>
  <c r="CW75" i="3"/>
  <c r="CX75" i="3"/>
  <c r="CX76" i="3" s="1"/>
  <c r="CY75" i="3"/>
  <c r="CY76" i="3" s="1"/>
  <c r="CZ75" i="3"/>
  <c r="CZ76" i="3" s="1"/>
  <c r="DA75" i="3"/>
  <c r="DB75" i="3"/>
  <c r="DC75" i="3"/>
  <c r="DC76" i="3" s="1"/>
  <c r="DD75" i="3"/>
  <c r="DD76" i="3" s="1"/>
  <c r="DE75" i="3"/>
  <c r="DE76" i="3" s="1"/>
  <c r="DF75" i="3"/>
  <c r="DF76" i="3" s="1"/>
  <c r="DG75" i="3"/>
  <c r="DG76" i="3" s="1"/>
  <c r="DH75" i="3"/>
  <c r="DH76" i="3" s="1"/>
  <c r="DI75" i="3"/>
  <c r="DJ75" i="3"/>
  <c r="DK75" i="3"/>
  <c r="DK76" i="3" s="1"/>
  <c r="DL75" i="3"/>
  <c r="DL76" i="3" s="1"/>
  <c r="DM75" i="3"/>
  <c r="DM76" i="3" s="1"/>
  <c r="DN75" i="3"/>
  <c r="DN76" i="3" s="1"/>
  <c r="DO75" i="3"/>
  <c r="DO76" i="3" s="1"/>
  <c r="DP75" i="3"/>
  <c r="DP76" i="3" s="1"/>
  <c r="DQ75" i="3"/>
  <c r="DR75" i="3"/>
  <c r="DS75" i="3"/>
  <c r="DS76" i="3" s="1"/>
  <c r="DT75" i="3"/>
  <c r="DT76" i="3" s="1"/>
  <c r="DU75" i="3"/>
  <c r="DU76" i="3" s="1"/>
  <c r="DV75" i="3"/>
  <c r="DV76" i="3" s="1"/>
  <c r="DW75" i="3"/>
  <c r="DW76" i="3" s="1"/>
  <c r="DX75" i="3"/>
  <c r="DX76" i="3" s="1"/>
  <c r="DY75" i="3"/>
  <c r="DZ75" i="3"/>
  <c r="EA75" i="3"/>
  <c r="EA76" i="3" s="1"/>
  <c r="EB75" i="3"/>
  <c r="EB76" i="3" s="1"/>
  <c r="EC75" i="3"/>
  <c r="EC76" i="3" s="1"/>
  <c r="ED75" i="3"/>
  <c r="ED76" i="3" s="1"/>
  <c r="EE75" i="3"/>
  <c r="EE76" i="3" s="1"/>
  <c r="EF75" i="3"/>
  <c r="EF76" i="3" s="1"/>
  <c r="EG75" i="3"/>
  <c r="EH75" i="3"/>
  <c r="EI75" i="3"/>
  <c r="EI76" i="3" s="1"/>
  <c r="EJ75" i="3"/>
  <c r="EJ76" i="3" s="1"/>
  <c r="EK75" i="3"/>
  <c r="EK76" i="3" s="1"/>
  <c r="EL75" i="3"/>
  <c r="EL76" i="3" s="1"/>
  <c r="EM75" i="3"/>
  <c r="EM76" i="3" s="1"/>
  <c r="EN75" i="3"/>
  <c r="EN76" i="3" s="1"/>
  <c r="EO75" i="3"/>
  <c r="EP75" i="3"/>
  <c r="EQ75" i="3"/>
  <c r="EQ76" i="3" s="1"/>
  <c r="ER75" i="3"/>
  <c r="ER76" i="3" s="1"/>
  <c r="ES75" i="3"/>
  <c r="ET75" i="3"/>
  <c r="ET76" i="3" s="1"/>
  <c r="EU75" i="3"/>
  <c r="EU76" i="3" s="1"/>
  <c r="EV75" i="3"/>
  <c r="EV76" i="3" s="1"/>
  <c r="EW75" i="3"/>
  <c r="EX75" i="3"/>
  <c r="EY75" i="3"/>
  <c r="EY76" i="3" s="1"/>
  <c r="EZ75" i="3"/>
  <c r="EZ76" i="3" s="1"/>
  <c r="FA75" i="3"/>
  <c r="FA76" i="3" s="1"/>
  <c r="FB75" i="3"/>
  <c r="FB76" i="3" s="1"/>
  <c r="FC75" i="3"/>
  <c r="FC76" i="3" s="1"/>
  <c r="FD75" i="3"/>
  <c r="FD76" i="3" s="1"/>
  <c r="FE75" i="3"/>
  <c r="FF75" i="3"/>
  <c r="FG75" i="3"/>
  <c r="FG76" i="3" s="1"/>
  <c r="FH75" i="3"/>
  <c r="FH76" i="3" s="1"/>
  <c r="FI75" i="3"/>
  <c r="FJ75" i="3"/>
  <c r="FJ76" i="3" s="1"/>
  <c r="FK75" i="3"/>
  <c r="FK76" i="3" s="1"/>
  <c r="FL75" i="3"/>
  <c r="FL76" i="3" s="1"/>
  <c r="FM75" i="3"/>
  <c r="FN75" i="3"/>
  <c r="FO75" i="3"/>
  <c r="FO76" i="3" s="1"/>
  <c r="FP75" i="3"/>
  <c r="FP76" i="3" s="1"/>
  <c r="FQ75" i="3"/>
  <c r="FQ76" i="3" s="1"/>
  <c r="FR75" i="3"/>
  <c r="FR76" i="3" s="1"/>
  <c r="E76" i="3"/>
  <c r="I76" i="3"/>
  <c r="M76" i="3"/>
  <c r="U76" i="3"/>
  <c r="Y76" i="3"/>
  <c r="Z76" i="3"/>
  <c r="AC76" i="3"/>
  <c r="AG76" i="3"/>
  <c r="AH76" i="3"/>
  <c r="AS76" i="3"/>
  <c r="AW76" i="3"/>
  <c r="AX76" i="3"/>
  <c r="BA76" i="3"/>
  <c r="BE76" i="3"/>
  <c r="BM76" i="3"/>
  <c r="BQ76" i="3"/>
  <c r="BU76" i="3"/>
  <c r="BY76" i="3"/>
  <c r="CG76" i="3"/>
  <c r="CK76" i="3"/>
  <c r="CL76" i="3"/>
  <c r="CO76" i="3"/>
  <c r="CS76" i="3"/>
  <c r="CT76" i="3"/>
  <c r="CW76" i="3"/>
  <c r="DA76" i="3"/>
  <c r="DB76" i="3"/>
  <c r="DI76" i="3"/>
  <c r="DJ76" i="3"/>
  <c r="DQ76" i="3"/>
  <c r="DR76" i="3"/>
  <c r="DY76" i="3"/>
  <c r="DZ76" i="3"/>
  <c r="EG76" i="3"/>
  <c r="EH76" i="3"/>
  <c r="EO76" i="3"/>
  <c r="EP76" i="3"/>
  <c r="ES76" i="3"/>
  <c r="EW76" i="3"/>
  <c r="EX76" i="3"/>
  <c r="FE76" i="3"/>
  <c r="FF76" i="3"/>
  <c r="FI76" i="3"/>
  <c r="FM76" i="3"/>
  <c r="FN76" i="3"/>
  <c r="C61" i="3"/>
  <c r="C60" i="3"/>
  <c r="C54" i="3"/>
  <c r="C53" i="3"/>
  <c r="C46" i="3"/>
  <c r="C47" i="3" s="1"/>
  <c r="AB16" i="3" l="1"/>
  <c r="AB17" i="3" s="1"/>
  <c r="AB2" i="3" s="1"/>
  <c r="AS16" i="3"/>
  <c r="AS17" i="3" s="1"/>
  <c r="AS2" i="3" s="1"/>
  <c r="CN16" i="3"/>
  <c r="CN17" i="3" s="1"/>
  <c r="CN2" i="3" s="1"/>
  <c r="DU16" i="3"/>
  <c r="DU17" i="3" s="1"/>
  <c r="EB16" i="3"/>
  <c r="EB17" i="3" s="1"/>
  <c r="D3" i="3"/>
  <c r="E3" i="3"/>
  <c r="F3" i="3"/>
  <c r="G3" i="3"/>
  <c r="H3" i="3"/>
  <c r="I3" i="3"/>
  <c r="J3" i="3"/>
  <c r="K3" i="3"/>
  <c r="L3" i="3"/>
  <c r="M3" i="3"/>
  <c r="N3" i="3"/>
  <c r="O3" i="3"/>
  <c r="P3" i="3"/>
  <c r="Q3" i="3"/>
  <c r="R3" i="3"/>
  <c r="S3" i="3"/>
  <c r="T3" i="3"/>
  <c r="U3" i="3"/>
  <c r="V3" i="3"/>
  <c r="W3" i="3"/>
  <c r="X3" i="3"/>
  <c r="Y3" i="3"/>
  <c r="Z3" i="3"/>
  <c r="AA3" i="3"/>
  <c r="AB3" i="3"/>
  <c r="AC3" i="3"/>
  <c r="AD3" i="3"/>
  <c r="AE3" i="3"/>
  <c r="AF3" i="3"/>
  <c r="AG3" i="3"/>
  <c r="AH3" i="3"/>
  <c r="AI3" i="3"/>
  <c r="AJ3" i="3"/>
  <c r="AK3" i="3"/>
  <c r="AL3" i="3"/>
  <c r="AM3" i="3"/>
  <c r="AN3" i="3"/>
  <c r="AO3" i="3"/>
  <c r="AP3" i="3"/>
  <c r="AQ3" i="3"/>
  <c r="AR3" i="3"/>
  <c r="AS3" i="3"/>
  <c r="AT3" i="3"/>
  <c r="AU3" i="3"/>
  <c r="AV3" i="3"/>
  <c r="AW3" i="3"/>
  <c r="AX3" i="3"/>
  <c r="AY3" i="3"/>
  <c r="AZ3" i="3"/>
  <c r="BA3" i="3"/>
  <c r="BB3" i="3"/>
  <c r="BC3" i="3"/>
  <c r="BD3" i="3"/>
  <c r="BE3" i="3"/>
  <c r="BF3" i="3"/>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D15" i="3"/>
  <c r="D16" i="3" s="1"/>
  <c r="D17" i="3" s="1"/>
  <c r="D2" i="3" s="1"/>
  <c r="E15" i="3"/>
  <c r="E16" i="3" s="1"/>
  <c r="E17" i="3" s="1"/>
  <c r="E2" i="3" s="1"/>
  <c r="F15" i="3"/>
  <c r="F16" i="3" s="1"/>
  <c r="F17" i="3" s="1"/>
  <c r="F2" i="3" s="1"/>
  <c r="G15" i="3"/>
  <c r="G16" i="3" s="1"/>
  <c r="G17" i="3" s="1"/>
  <c r="G2" i="3" s="1"/>
  <c r="H15" i="3"/>
  <c r="H16" i="3" s="1"/>
  <c r="H17" i="3" s="1"/>
  <c r="H2" i="3" s="1"/>
  <c r="I15" i="3"/>
  <c r="I16" i="3" s="1"/>
  <c r="I17" i="3" s="1"/>
  <c r="I2" i="3" s="1"/>
  <c r="J15" i="3"/>
  <c r="J16" i="3" s="1"/>
  <c r="J17" i="3" s="1"/>
  <c r="J2" i="3" s="1"/>
  <c r="K15" i="3"/>
  <c r="K16" i="3" s="1"/>
  <c r="K17" i="3" s="1"/>
  <c r="K2" i="3" s="1"/>
  <c r="L15" i="3"/>
  <c r="L16" i="3" s="1"/>
  <c r="L17" i="3" s="1"/>
  <c r="L2" i="3" s="1"/>
  <c r="M15" i="3"/>
  <c r="M16" i="3" s="1"/>
  <c r="M17" i="3" s="1"/>
  <c r="M2" i="3" s="1"/>
  <c r="N15" i="3"/>
  <c r="N16" i="3" s="1"/>
  <c r="N17" i="3" s="1"/>
  <c r="N2" i="3" s="1"/>
  <c r="O15" i="3"/>
  <c r="O16" i="3" s="1"/>
  <c r="O17" i="3" s="1"/>
  <c r="O2" i="3" s="1"/>
  <c r="P15" i="3"/>
  <c r="P16" i="3" s="1"/>
  <c r="P17" i="3" s="1"/>
  <c r="P2" i="3" s="1"/>
  <c r="Q15" i="3"/>
  <c r="Q16" i="3" s="1"/>
  <c r="Q17" i="3" s="1"/>
  <c r="Q2" i="3" s="1"/>
  <c r="R15" i="3"/>
  <c r="R16" i="3" s="1"/>
  <c r="R17" i="3" s="1"/>
  <c r="R2" i="3" s="1"/>
  <c r="S15" i="3"/>
  <c r="S16" i="3" s="1"/>
  <c r="S17" i="3" s="1"/>
  <c r="S2" i="3" s="1"/>
  <c r="T15" i="3"/>
  <c r="T16" i="3" s="1"/>
  <c r="T17" i="3" s="1"/>
  <c r="T2" i="3" s="1"/>
  <c r="U15" i="3"/>
  <c r="U16" i="3" s="1"/>
  <c r="U17" i="3" s="1"/>
  <c r="U2" i="3" s="1"/>
  <c r="V15" i="3"/>
  <c r="V16" i="3" s="1"/>
  <c r="V17" i="3" s="1"/>
  <c r="V2" i="3" s="1"/>
  <c r="W15" i="3"/>
  <c r="W16" i="3" s="1"/>
  <c r="W17" i="3" s="1"/>
  <c r="W2" i="3" s="1"/>
  <c r="X15" i="3"/>
  <c r="X16" i="3" s="1"/>
  <c r="X17" i="3" s="1"/>
  <c r="X2" i="3" s="1"/>
  <c r="Y15" i="3"/>
  <c r="Y16" i="3" s="1"/>
  <c r="Y17" i="3" s="1"/>
  <c r="Y2" i="3" s="1"/>
  <c r="Z15" i="3"/>
  <c r="Z16" i="3" s="1"/>
  <c r="Z17" i="3" s="1"/>
  <c r="Z2" i="3" s="1"/>
  <c r="AA15" i="3"/>
  <c r="AA16" i="3" s="1"/>
  <c r="AA17" i="3" s="1"/>
  <c r="AA2" i="3" s="1"/>
  <c r="AB15" i="3"/>
  <c r="AC15" i="3"/>
  <c r="AC16" i="3" s="1"/>
  <c r="AC17" i="3" s="1"/>
  <c r="AC2" i="3" s="1"/>
  <c r="AD15" i="3"/>
  <c r="AD16" i="3" s="1"/>
  <c r="AD17" i="3" s="1"/>
  <c r="AD2" i="3" s="1"/>
  <c r="AE15" i="3"/>
  <c r="AE16" i="3" s="1"/>
  <c r="AE17" i="3" s="1"/>
  <c r="AE2" i="3" s="1"/>
  <c r="AF15" i="3"/>
  <c r="AF16" i="3" s="1"/>
  <c r="AF17" i="3" s="1"/>
  <c r="AF2" i="3" s="1"/>
  <c r="AG15" i="3"/>
  <c r="AG16" i="3" s="1"/>
  <c r="AG17" i="3" s="1"/>
  <c r="AG2" i="3" s="1"/>
  <c r="AH15" i="3"/>
  <c r="AH16" i="3" s="1"/>
  <c r="AH17" i="3" s="1"/>
  <c r="AH2" i="3" s="1"/>
  <c r="AI15" i="3"/>
  <c r="AI16" i="3" s="1"/>
  <c r="AI17" i="3" s="1"/>
  <c r="AI2" i="3" s="1"/>
  <c r="AJ15" i="3"/>
  <c r="AJ16" i="3" s="1"/>
  <c r="AJ17" i="3" s="1"/>
  <c r="AJ2" i="3" s="1"/>
  <c r="AK15" i="3"/>
  <c r="AK16" i="3" s="1"/>
  <c r="AK17" i="3" s="1"/>
  <c r="AK2" i="3" s="1"/>
  <c r="AL15" i="3"/>
  <c r="AL16" i="3" s="1"/>
  <c r="AL17" i="3" s="1"/>
  <c r="AL2" i="3" s="1"/>
  <c r="AM15" i="3"/>
  <c r="AM16" i="3" s="1"/>
  <c r="AM17" i="3" s="1"/>
  <c r="AM2" i="3" s="1"/>
  <c r="AN15" i="3"/>
  <c r="AN16" i="3" s="1"/>
  <c r="AN17" i="3" s="1"/>
  <c r="AN2" i="3" s="1"/>
  <c r="AO15" i="3"/>
  <c r="AO16" i="3" s="1"/>
  <c r="AO17" i="3" s="1"/>
  <c r="AO2" i="3" s="1"/>
  <c r="AP15" i="3"/>
  <c r="AP16" i="3" s="1"/>
  <c r="AP17" i="3" s="1"/>
  <c r="AP2" i="3" s="1"/>
  <c r="AQ15" i="3"/>
  <c r="AQ16" i="3" s="1"/>
  <c r="AQ17" i="3" s="1"/>
  <c r="AQ2" i="3" s="1"/>
  <c r="AR15" i="3"/>
  <c r="AR16" i="3" s="1"/>
  <c r="AR17" i="3" s="1"/>
  <c r="AR2" i="3" s="1"/>
  <c r="AS15" i="3"/>
  <c r="AT15" i="3"/>
  <c r="AT16" i="3" s="1"/>
  <c r="AT17" i="3" s="1"/>
  <c r="AT2" i="3" s="1"/>
  <c r="AU15" i="3"/>
  <c r="AU16" i="3" s="1"/>
  <c r="AU17" i="3" s="1"/>
  <c r="AU2" i="3" s="1"/>
  <c r="AV15" i="3"/>
  <c r="AV16" i="3" s="1"/>
  <c r="AV17" i="3" s="1"/>
  <c r="AV2" i="3" s="1"/>
  <c r="AW15" i="3"/>
  <c r="AW16" i="3" s="1"/>
  <c r="AW17" i="3" s="1"/>
  <c r="AW2" i="3" s="1"/>
  <c r="AX15" i="3"/>
  <c r="AX16" i="3" s="1"/>
  <c r="AX17" i="3" s="1"/>
  <c r="AX2" i="3" s="1"/>
  <c r="AY15" i="3"/>
  <c r="AY16" i="3" s="1"/>
  <c r="AY17" i="3" s="1"/>
  <c r="AY2" i="3" s="1"/>
  <c r="AZ15" i="3"/>
  <c r="AZ16" i="3" s="1"/>
  <c r="AZ17" i="3" s="1"/>
  <c r="AZ2" i="3" s="1"/>
  <c r="BA15" i="3"/>
  <c r="BA16" i="3" s="1"/>
  <c r="BA17" i="3" s="1"/>
  <c r="BA2" i="3" s="1"/>
  <c r="BB15" i="3"/>
  <c r="BB16" i="3" s="1"/>
  <c r="BB17" i="3" s="1"/>
  <c r="BB2" i="3" s="1"/>
  <c r="BC15" i="3"/>
  <c r="BC16" i="3" s="1"/>
  <c r="BC17" i="3" s="1"/>
  <c r="BC2" i="3" s="1"/>
  <c r="BD15" i="3"/>
  <c r="BD16" i="3" s="1"/>
  <c r="BD17" i="3" s="1"/>
  <c r="BD2" i="3" s="1"/>
  <c r="BE15" i="3"/>
  <c r="BE16" i="3" s="1"/>
  <c r="BE17" i="3" s="1"/>
  <c r="BE2" i="3" s="1"/>
  <c r="BF15" i="3"/>
  <c r="BF16" i="3" s="1"/>
  <c r="BF17" i="3" s="1"/>
  <c r="BF2" i="3" s="1"/>
  <c r="BG15" i="3"/>
  <c r="BG16" i="3" s="1"/>
  <c r="BG17" i="3" s="1"/>
  <c r="BG2" i="3" s="1"/>
  <c r="BH15" i="3"/>
  <c r="BH16" i="3" s="1"/>
  <c r="BH17" i="3" s="1"/>
  <c r="BH2" i="3" s="1"/>
  <c r="BI15" i="3"/>
  <c r="BI16" i="3" s="1"/>
  <c r="BI17" i="3" s="1"/>
  <c r="BI2" i="3" s="1"/>
  <c r="BJ15" i="3"/>
  <c r="BJ16" i="3" s="1"/>
  <c r="BJ17" i="3" s="1"/>
  <c r="BJ2" i="3" s="1"/>
  <c r="BK15" i="3"/>
  <c r="BK16" i="3" s="1"/>
  <c r="BK17" i="3" s="1"/>
  <c r="BK2" i="3" s="1"/>
  <c r="BL15" i="3"/>
  <c r="BL16" i="3" s="1"/>
  <c r="BL17" i="3" s="1"/>
  <c r="BL2" i="3" s="1"/>
  <c r="BM15" i="3"/>
  <c r="BM16" i="3" s="1"/>
  <c r="BM17" i="3" s="1"/>
  <c r="BM2" i="3" s="1"/>
  <c r="BN15" i="3"/>
  <c r="BN16" i="3" s="1"/>
  <c r="BN17" i="3" s="1"/>
  <c r="BN2" i="3" s="1"/>
  <c r="BO15" i="3"/>
  <c r="BO16" i="3" s="1"/>
  <c r="BO17" i="3" s="1"/>
  <c r="BO2" i="3" s="1"/>
  <c r="BP15" i="3"/>
  <c r="BP16" i="3" s="1"/>
  <c r="BP17" i="3" s="1"/>
  <c r="BP2" i="3" s="1"/>
  <c r="BQ15" i="3"/>
  <c r="BQ16" i="3" s="1"/>
  <c r="BQ17" i="3" s="1"/>
  <c r="BQ2" i="3" s="1"/>
  <c r="BR15" i="3"/>
  <c r="BR16" i="3" s="1"/>
  <c r="BR17" i="3" s="1"/>
  <c r="BR2" i="3" s="1"/>
  <c r="BS15" i="3"/>
  <c r="BS16" i="3" s="1"/>
  <c r="BS17" i="3" s="1"/>
  <c r="BS2" i="3" s="1"/>
  <c r="BT15" i="3"/>
  <c r="BT16" i="3" s="1"/>
  <c r="BT17" i="3" s="1"/>
  <c r="BT2" i="3" s="1"/>
  <c r="BU15" i="3"/>
  <c r="BU16" i="3" s="1"/>
  <c r="BU17" i="3" s="1"/>
  <c r="BU2" i="3" s="1"/>
  <c r="BV15" i="3"/>
  <c r="BV16" i="3" s="1"/>
  <c r="BV17" i="3" s="1"/>
  <c r="BV2" i="3" s="1"/>
  <c r="BW15" i="3"/>
  <c r="BW16" i="3" s="1"/>
  <c r="BW17" i="3" s="1"/>
  <c r="BW2" i="3" s="1"/>
  <c r="BX15" i="3"/>
  <c r="BX16" i="3" s="1"/>
  <c r="BX17" i="3" s="1"/>
  <c r="BX2" i="3" s="1"/>
  <c r="BY15" i="3"/>
  <c r="BY16" i="3" s="1"/>
  <c r="BY17" i="3" s="1"/>
  <c r="BY2" i="3" s="1"/>
  <c r="BZ15" i="3"/>
  <c r="BZ16" i="3" s="1"/>
  <c r="BZ17" i="3" s="1"/>
  <c r="BZ2" i="3" s="1"/>
  <c r="CA15" i="3"/>
  <c r="CA16" i="3" s="1"/>
  <c r="CA17" i="3" s="1"/>
  <c r="CA2" i="3" s="1"/>
  <c r="CB15" i="3"/>
  <c r="CB16" i="3" s="1"/>
  <c r="CB17" i="3" s="1"/>
  <c r="CB2" i="3" s="1"/>
  <c r="CC15" i="3"/>
  <c r="CC16" i="3" s="1"/>
  <c r="CC17" i="3" s="1"/>
  <c r="CC2" i="3" s="1"/>
  <c r="CD15" i="3"/>
  <c r="CD16" i="3" s="1"/>
  <c r="CD17" i="3" s="1"/>
  <c r="CD2" i="3" s="1"/>
  <c r="CE15" i="3"/>
  <c r="CE16" i="3" s="1"/>
  <c r="CE17" i="3" s="1"/>
  <c r="CE2" i="3" s="1"/>
  <c r="CF15" i="3"/>
  <c r="CF16" i="3" s="1"/>
  <c r="CF17" i="3" s="1"/>
  <c r="CF2" i="3" s="1"/>
  <c r="CG15" i="3"/>
  <c r="CG16" i="3" s="1"/>
  <c r="CG17" i="3" s="1"/>
  <c r="CG2" i="3" s="1"/>
  <c r="CH15" i="3"/>
  <c r="CH16" i="3" s="1"/>
  <c r="CH17" i="3" s="1"/>
  <c r="CH2" i="3" s="1"/>
  <c r="CI15" i="3"/>
  <c r="CI16" i="3" s="1"/>
  <c r="CI17" i="3" s="1"/>
  <c r="CI2" i="3" s="1"/>
  <c r="CJ15" i="3"/>
  <c r="CJ16" i="3" s="1"/>
  <c r="CJ17" i="3" s="1"/>
  <c r="CJ2" i="3" s="1"/>
  <c r="CK15" i="3"/>
  <c r="CK16" i="3" s="1"/>
  <c r="CK17" i="3" s="1"/>
  <c r="CK2" i="3" s="1"/>
  <c r="CL15" i="3"/>
  <c r="CL16" i="3" s="1"/>
  <c r="CL17" i="3" s="1"/>
  <c r="CL2" i="3" s="1"/>
  <c r="CM15" i="3"/>
  <c r="CM16" i="3" s="1"/>
  <c r="CM17" i="3" s="1"/>
  <c r="CM2" i="3" s="1"/>
  <c r="CN15" i="3"/>
  <c r="FR3" i="3"/>
  <c r="FQ3" i="3"/>
  <c r="FP3" i="3"/>
  <c r="FO3" i="3"/>
  <c r="FN3" i="3"/>
  <c r="FM3" i="3"/>
  <c r="FL3" i="3"/>
  <c r="FK3" i="3"/>
  <c r="FJ3" i="3"/>
  <c r="FI3" i="3"/>
  <c r="FH3" i="3"/>
  <c r="FG3" i="3"/>
  <c r="FF3" i="3"/>
  <c r="FE3" i="3"/>
  <c r="FD3" i="3"/>
  <c r="FC3" i="3"/>
  <c r="FB3" i="3"/>
  <c r="FA3" i="3"/>
  <c r="EZ3" i="3"/>
  <c r="EY3" i="3"/>
  <c r="EX3" i="3"/>
  <c r="EW3" i="3"/>
  <c r="EV3" i="3"/>
  <c r="EU3" i="3"/>
  <c r="ET3" i="3"/>
  <c r="ES3" i="3"/>
  <c r="ER3" i="3"/>
  <c r="EQ3" i="3"/>
  <c r="EP3" i="3"/>
  <c r="EO3" i="3"/>
  <c r="EN3" i="3"/>
  <c r="EM3" i="3"/>
  <c r="EL3" i="3"/>
  <c r="EK3" i="3"/>
  <c r="EJ3" i="3"/>
  <c r="EI3" i="3"/>
  <c r="EH3" i="3"/>
  <c r="EG3" i="3"/>
  <c r="EF3" i="3"/>
  <c r="EE3" i="3"/>
  <c r="ED3" i="3"/>
  <c r="EC3" i="3"/>
  <c r="EB3" i="3"/>
  <c r="EA3" i="3"/>
  <c r="DZ3" i="3"/>
  <c r="DY3" i="3"/>
  <c r="DX3" i="3"/>
  <c r="DW3" i="3"/>
  <c r="DV3" i="3"/>
  <c r="DU3" i="3"/>
  <c r="DT3" i="3"/>
  <c r="DS3" i="3"/>
  <c r="DR3" i="3"/>
  <c r="DQ3" i="3"/>
  <c r="DP3" i="3"/>
  <c r="DO3" i="3"/>
  <c r="DN3" i="3"/>
  <c r="DM3" i="3"/>
  <c r="DL3" i="3"/>
  <c r="DK3" i="3"/>
  <c r="DJ3" i="3"/>
  <c r="DI3" i="3"/>
  <c r="DH3" i="3"/>
  <c r="DG3" i="3"/>
  <c r="DF3" i="3"/>
  <c r="DE3" i="3"/>
  <c r="DD3" i="3"/>
  <c r="DC3" i="3"/>
  <c r="DB3" i="3"/>
  <c r="DA3" i="3"/>
  <c r="CZ3" i="3"/>
  <c r="CY3" i="3"/>
  <c r="CX3" i="3"/>
  <c r="CW3" i="3"/>
  <c r="CV3" i="3"/>
  <c r="CU3" i="3"/>
  <c r="CT3" i="3"/>
  <c r="CS3" i="3"/>
  <c r="CR3" i="3"/>
  <c r="CQ3" i="3"/>
  <c r="CP3" i="3"/>
  <c r="CO3" i="3"/>
  <c r="C3" i="3"/>
  <c r="CO15" i="3"/>
  <c r="CO16" i="3" s="1"/>
  <c r="CO17" i="3" s="1"/>
  <c r="CP15" i="3"/>
  <c r="CP16" i="3" s="1"/>
  <c r="CP17" i="3" s="1"/>
  <c r="CP2" i="3" s="1"/>
  <c r="CQ15" i="3"/>
  <c r="CQ16" i="3" s="1"/>
  <c r="CQ17" i="3" s="1"/>
  <c r="CR15" i="3"/>
  <c r="CR16" i="3" s="1"/>
  <c r="CR17" i="3" s="1"/>
  <c r="CR2" i="3" s="1"/>
  <c r="CS15" i="3"/>
  <c r="CS16" i="3" s="1"/>
  <c r="CS17" i="3" s="1"/>
  <c r="CT15" i="3"/>
  <c r="CT16" i="3" s="1"/>
  <c r="CT17" i="3" s="1"/>
  <c r="CU15" i="3"/>
  <c r="CU16" i="3" s="1"/>
  <c r="CU17" i="3" s="1"/>
  <c r="CV15" i="3"/>
  <c r="CV16" i="3" s="1"/>
  <c r="CV17" i="3" s="1"/>
  <c r="CV2" i="3" s="1"/>
  <c r="CW15" i="3"/>
  <c r="CW16" i="3" s="1"/>
  <c r="CW17" i="3" s="1"/>
  <c r="CX15" i="3"/>
  <c r="CX16" i="3" s="1"/>
  <c r="CX17" i="3" s="1"/>
  <c r="CX2" i="3" s="1"/>
  <c r="CY15" i="3"/>
  <c r="CY16" i="3" s="1"/>
  <c r="CY17" i="3" s="1"/>
  <c r="CZ15" i="3"/>
  <c r="CZ16" i="3" s="1"/>
  <c r="CZ17" i="3" s="1"/>
  <c r="CZ2" i="3" s="1"/>
  <c r="DA15" i="3"/>
  <c r="DA16" i="3" s="1"/>
  <c r="DA17" i="3" s="1"/>
  <c r="DB15" i="3"/>
  <c r="DB16" i="3" s="1"/>
  <c r="DB17" i="3" s="1"/>
  <c r="DC15" i="3"/>
  <c r="DC16" i="3" s="1"/>
  <c r="DC17" i="3" s="1"/>
  <c r="DD15" i="3"/>
  <c r="DD16" i="3" s="1"/>
  <c r="DD17" i="3" s="1"/>
  <c r="DE15" i="3"/>
  <c r="DE16" i="3" s="1"/>
  <c r="DE17" i="3" s="1"/>
  <c r="DF15" i="3"/>
  <c r="DF16" i="3" s="1"/>
  <c r="DF17" i="3" s="1"/>
  <c r="DF2" i="3" s="1"/>
  <c r="DG15" i="3"/>
  <c r="DG16" i="3" s="1"/>
  <c r="DG17" i="3" s="1"/>
  <c r="DH15" i="3"/>
  <c r="DH16" i="3" s="1"/>
  <c r="DH17" i="3" s="1"/>
  <c r="DH2" i="3" s="1"/>
  <c r="DI15" i="3"/>
  <c r="DI16" i="3" s="1"/>
  <c r="DI17" i="3" s="1"/>
  <c r="DJ15" i="3"/>
  <c r="DJ16" i="3" s="1"/>
  <c r="DJ17" i="3" s="1"/>
  <c r="DK15" i="3"/>
  <c r="DK16" i="3" s="1"/>
  <c r="DK17" i="3" s="1"/>
  <c r="DL15" i="3"/>
  <c r="DL16" i="3" s="1"/>
  <c r="DL17" i="3" s="1"/>
  <c r="DM15" i="3"/>
  <c r="DM16" i="3" s="1"/>
  <c r="DM17" i="3" s="1"/>
  <c r="DN15" i="3"/>
  <c r="DN16" i="3" s="1"/>
  <c r="DN17" i="3" s="1"/>
  <c r="DN2" i="3" s="1"/>
  <c r="DO15" i="3"/>
  <c r="DO16" i="3" s="1"/>
  <c r="DO17" i="3" s="1"/>
  <c r="DP15" i="3"/>
  <c r="DP16" i="3" s="1"/>
  <c r="DP17" i="3" s="1"/>
  <c r="DP2" i="3" s="1"/>
  <c r="DQ15" i="3"/>
  <c r="DQ16" i="3" s="1"/>
  <c r="DQ17" i="3" s="1"/>
  <c r="DR15" i="3"/>
  <c r="DR16" i="3" s="1"/>
  <c r="DR17" i="3" s="1"/>
  <c r="DS15" i="3"/>
  <c r="DS16" i="3" s="1"/>
  <c r="DS17" i="3" s="1"/>
  <c r="DT15" i="3"/>
  <c r="DT16" i="3" s="1"/>
  <c r="DT17" i="3" s="1"/>
  <c r="DU15" i="3"/>
  <c r="DV15" i="3"/>
  <c r="DV16" i="3" s="1"/>
  <c r="DV17" i="3" s="1"/>
  <c r="DV2" i="3" s="1"/>
  <c r="DW15" i="3"/>
  <c r="DW16" i="3" s="1"/>
  <c r="DW17" i="3" s="1"/>
  <c r="DX15" i="3"/>
  <c r="DX16" i="3" s="1"/>
  <c r="DX17" i="3" s="1"/>
  <c r="DX2" i="3" s="1"/>
  <c r="DY15" i="3"/>
  <c r="DY16" i="3" s="1"/>
  <c r="DY17" i="3" s="1"/>
  <c r="DZ15" i="3"/>
  <c r="DZ16" i="3" s="1"/>
  <c r="DZ17" i="3" s="1"/>
  <c r="EA15" i="3"/>
  <c r="EA16" i="3" s="1"/>
  <c r="EA17" i="3" s="1"/>
  <c r="EB15" i="3"/>
  <c r="EC15" i="3"/>
  <c r="EC16" i="3" s="1"/>
  <c r="EC17" i="3" s="1"/>
  <c r="ED15" i="3"/>
  <c r="ED16" i="3" s="1"/>
  <c r="ED17" i="3" s="1"/>
  <c r="ED2" i="3" s="1"/>
  <c r="EE15" i="3"/>
  <c r="EE16" i="3" s="1"/>
  <c r="EE17" i="3" s="1"/>
  <c r="EF15" i="3"/>
  <c r="EF16" i="3" s="1"/>
  <c r="EF17" i="3" s="1"/>
  <c r="EF2" i="3" s="1"/>
  <c r="EG15" i="3"/>
  <c r="EG16" i="3" s="1"/>
  <c r="EG17" i="3" s="1"/>
  <c r="EH15" i="3"/>
  <c r="EH16" i="3" s="1"/>
  <c r="EH17" i="3" s="1"/>
  <c r="EI15" i="3"/>
  <c r="EI16" i="3" s="1"/>
  <c r="EI17" i="3" s="1"/>
  <c r="EJ15" i="3"/>
  <c r="EJ16" i="3" s="1"/>
  <c r="EJ17" i="3" s="1"/>
  <c r="EJ2" i="3" s="1"/>
  <c r="EK15" i="3"/>
  <c r="EK16" i="3" s="1"/>
  <c r="EK17" i="3" s="1"/>
  <c r="EL15" i="3"/>
  <c r="EL16" i="3" s="1"/>
  <c r="EL17" i="3" s="1"/>
  <c r="EL2" i="3" s="1"/>
  <c r="EM15" i="3"/>
  <c r="EM16" i="3" s="1"/>
  <c r="EM17" i="3" s="1"/>
  <c r="EN15" i="3"/>
  <c r="EN16" i="3" s="1"/>
  <c r="EN17" i="3" s="1"/>
  <c r="EN2" i="3" s="1"/>
  <c r="EO15" i="3"/>
  <c r="EO16" i="3" s="1"/>
  <c r="EO17" i="3" s="1"/>
  <c r="EP15" i="3"/>
  <c r="EP16" i="3" s="1"/>
  <c r="EP17" i="3" s="1"/>
  <c r="EQ15" i="3"/>
  <c r="EQ16" i="3" s="1"/>
  <c r="EQ17" i="3" s="1"/>
  <c r="ER15" i="3"/>
  <c r="ER16" i="3" s="1"/>
  <c r="ER17" i="3" s="1"/>
  <c r="ER2" i="3" s="1"/>
  <c r="ES15" i="3"/>
  <c r="ES16" i="3" s="1"/>
  <c r="ES17" i="3" s="1"/>
  <c r="ET15" i="3"/>
  <c r="ET16" i="3" s="1"/>
  <c r="ET17" i="3" s="1"/>
  <c r="ET2" i="3" s="1"/>
  <c r="EU15" i="3"/>
  <c r="EU16" i="3" s="1"/>
  <c r="EU17" i="3" s="1"/>
  <c r="EV15" i="3"/>
  <c r="EV16" i="3" s="1"/>
  <c r="EV17" i="3" s="1"/>
  <c r="EV2" i="3" s="1"/>
  <c r="EW15" i="3"/>
  <c r="EW16" i="3" s="1"/>
  <c r="EW17" i="3" s="1"/>
  <c r="EX15" i="3"/>
  <c r="EX16" i="3" s="1"/>
  <c r="EX17" i="3" s="1"/>
  <c r="EY15" i="3"/>
  <c r="EY16" i="3" s="1"/>
  <c r="EY17" i="3" s="1"/>
  <c r="EZ15" i="3"/>
  <c r="FA15" i="3"/>
  <c r="FA16" i="3" s="1"/>
  <c r="FA17" i="3" s="1"/>
  <c r="FB15" i="3"/>
  <c r="FB16" i="3" s="1"/>
  <c r="FB17" i="3" s="1"/>
  <c r="FB2" i="3" s="1"/>
  <c r="FC15" i="3"/>
  <c r="FC16" i="3" s="1"/>
  <c r="FC17" i="3" s="1"/>
  <c r="FD15" i="3"/>
  <c r="FD16" i="3" s="1"/>
  <c r="FD17" i="3" s="1"/>
  <c r="FD2" i="3" s="1"/>
  <c r="FE15" i="3"/>
  <c r="FE16" i="3" s="1"/>
  <c r="FE17" i="3" s="1"/>
  <c r="FF15" i="3"/>
  <c r="FF16" i="3" s="1"/>
  <c r="FF17" i="3" s="1"/>
  <c r="FG15" i="3"/>
  <c r="FG16" i="3" s="1"/>
  <c r="FG17" i="3" s="1"/>
  <c r="FH15" i="3"/>
  <c r="FH16" i="3" s="1"/>
  <c r="FH17" i="3" s="1"/>
  <c r="FH2" i="3" s="1"/>
  <c r="FI15" i="3"/>
  <c r="FI16" i="3" s="1"/>
  <c r="FI17" i="3" s="1"/>
  <c r="FJ15" i="3"/>
  <c r="FJ16" i="3" s="1"/>
  <c r="FJ17" i="3" s="1"/>
  <c r="FJ2" i="3" s="1"/>
  <c r="FK15" i="3"/>
  <c r="FK16" i="3" s="1"/>
  <c r="FK17" i="3" s="1"/>
  <c r="FL15" i="3"/>
  <c r="FL16" i="3" s="1"/>
  <c r="FL17" i="3" s="1"/>
  <c r="FL2" i="3" s="1"/>
  <c r="FM15" i="3"/>
  <c r="FM16" i="3" s="1"/>
  <c r="FM17" i="3" s="1"/>
  <c r="FN15" i="3"/>
  <c r="FN16" i="3" s="1"/>
  <c r="FN17" i="3" s="1"/>
  <c r="FO15" i="3"/>
  <c r="FO16" i="3" s="1"/>
  <c r="FO17" i="3" s="1"/>
  <c r="FP15" i="3"/>
  <c r="FQ15" i="3"/>
  <c r="FQ16" i="3" s="1"/>
  <c r="FQ17" i="3" s="1"/>
  <c r="FR15" i="3"/>
  <c r="FR16" i="3" s="1"/>
  <c r="FR17" i="3" s="1"/>
  <c r="FR2" i="3" s="1"/>
  <c r="DO78" i="3"/>
  <c r="DO80" i="3" s="1"/>
  <c r="DO83" i="3" s="1"/>
  <c r="FC78" i="3"/>
  <c r="FC80" i="3" s="1"/>
  <c r="FC83" i="3" s="1"/>
  <c r="FE78" i="3"/>
  <c r="FE79" i="3" s="1"/>
  <c r="C68" i="3"/>
  <c r="C69" i="3" s="1"/>
  <c r="C39" i="3"/>
  <c r="C40" i="3" s="1"/>
  <c r="C32" i="3"/>
  <c r="C33" i="3" s="1"/>
  <c r="C25" i="3"/>
  <c r="C26" i="3" s="1"/>
  <c r="AL78" i="3" l="1"/>
  <c r="AL80" i="3" s="1"/>
  <c r="ET78" i="3"/>
  <c r="ET80" i="3" s="1"/>
  <c r="ET83" i="3" s="1"/>
  <c r="DF78" i="3"/>
  <c r="DV78" i="3"/>
  <c r="DV80" i="3" s="1"/>
  <c r="DV83" i="3" s="1"/>
  <c r="EE78" i="3"/>
  <c r="FF78" i="3"/>
  <c r="FF79" i="3" s="1"/>
  <c r="FJ78" i="3"/>
  <c r="FJ80" i="3" s="1"/>
  <c r="FJ83" i="3" s="1"/>
  <c r="EM78" i="3"/>
  <c r="EM79" i="3" s="1"/>
  <c r="FR78" i="3"/>
  <c r="FB78" i="3"/>
  <c r="FB80" i="3" s="1"/>
  <c r="EL78" i="3"/>
  <c r="CX78" i="3"/>
  <c r="CX80" i="3" s="1"/>
  <c r="CX83" i="3" s="1"/>
  <c r="DN78" i="3"/>
  <c r="DN80" i="3" s="1"/>
  <c r="DN83" i="3" s="1"/>
  <c r="DX78" i="3"/>
  <c r="DX80" i="3" s="1"/>
  <c r="DX83" i="3" s="1"/>
  <c r="DH78" i="3"/>
  <c r="DH79" i="3" s="1"/>
  <c r="CQ78" i="3"/>
  <c r="CQ80" i="3" s="1"/>
  <c r="CQ83" i="3" s="1"/>
  <c r="ED78" i="3"/>
  <c r="FQ78" i="3"/>
  <c r="FQ79" i="3" s="1"/>
  <c r="FA78" i="3"/>
  <c r="FA79" i="3" s="1"/>
  <c r="EC78" i="3"/>
  <c r="EC79" i="3" s="1"/>
  <c r="DU78" i="3"/>
  <c r="DU79" i="3" s="1"/>
  <c r="DE78" i="3"/>
  <c r="DE79" i="3" s="1"/>
  <c r="DI78" i="3"/>
  <c r="DI79" i="3" s="1"/>
  <c r="EW78" i="3"/>
  <c r="EW79" i="3" s="1"/>
  <c r="DW78" i="3"/>
  <c r="DW79" i="3" s="1"/>
  <c r="DG78" i="3"/>
  <c r="DG80" i="3" s="1"/>
  <c r="DG83" i="3" s="1"/>
  <c r="FK78" i="3"/>
  <c r="FK80" i="3" s="1"/>
  <c r="EU78" i="3"/>
  <c r="EU80" i="3" s="1"/>
  <c r="EU83" i="3" s="1"/>
  <c r="DS78" i="3"/>
  <c r="CY78" i="3"/>
  <c r="CY79" i="3" s="1"/>
  <c r="EZ78" i="3"/>
  <c r="EZ80" i="3" s="1"/>
  <c r="EZ83" i="3" s="1"/>
  <c r="EB78" i="3"/>
  <c r="EB80" i="3" s="1"/>
  <c r="EB83" i="3" s="1"/>
  <c r="FI78" i="3"/>
  <c r="FI80" i="3" s="1"/>
  <c r="FI83" i="3" s="1"/>
  <c r="ES78" i="3"/>
  <c r="ES80" i="3" s="1"/>
  <c r="ES83" i="3" s="1"/>
  <c r="FO78" i="3"/>
  <c r="CU78" i="3"/>
  <c r="EV78" i="3"/>
  <c r="EV79" i="3" s="1"/>
  <c r="EG78" i="3"/>
  <c r="EG80" i="3" s="1"/>
  <c r="CZ78" i="3"/>
  <c r="CZ79" i="3" s="1"/>
  <c r="EQ78" i="3"/>
  <c r="EQ80" i="3" s="1"/>
  <c r="EN78" i="3"/>
  <c r="EN79" i="3" s="1"/>
  <c r="FN78" i="3"/>
  <c r="FN79" i="3" s="1"/>
  <c r="EX78" i="3"/>
  <c r="EP78" i="3"/>
  <c r="EP79" i="3" s="1"/>
  <c r="EH78" i="3"/>
  <c r="DZ78" i="3"/>
  <c r="DZ80" i="3" s="1"/>
  <c r="DZ83" i="3" s="1"/>
  <c r="DR78" i="3"/>
  <c r="DR80" i="3" s="1"/>
  <c r="DJ78" i="3"/>
  <c r="DJ79" i="3" s="1"/>
  <c r="DB78" i="3"/>
  <c r="DB79" i="3" s="1"/>
  <c r="CT78" i="3"/>
  <c r="EF78" i="3"/>
  <c r="EF79" i="3" s="1"/>
  <c r="EI78" i="3"/>
  <c r="EI80" i="3" s="1"/>
  <c r="FL78" i="3"/>
  <c r="FL80" i="3" s="1"/>
  <c r="FC79" i="3"/>
  <c r="DM78" i="3"/>
  <c r="DM79" i="3" s="1"/>
  <c r="CW78" i="3"/>
  <c r="CW79" i="3" s="1"/>
  <c r="CO78" i="3"/>
  <c r="CO80" i="3" s="1"/>
  <c r="FM78" i="3"/>
  <c r="FM80" i="3" s="1"/>
  <c r="EO78" i="3"/>
  <c r="EO80" i="3" s="1"/>
  <c r="DY78" i="3"/>
  <c r="DQ78" i="3"/>
  <c r="DQ79" i="3" s="1"/>
  <c r="DA78" i="3"/>
  <c r="DA79" i="3" s="1"/>
  <c r="FH78" i="3"/>
  <c r="FH79" i="3" s="1"/>
  <c r="EJ78" i="3"/>
  <c r="DT78" i="3"/>
  <c r="DL78" i="3"/>
  <c r="EA78" i="3"/>
  <c r="EA80" i="3" s="1"/>
  <c r="DC78" i="3"/>
  <c r="DC80" i="3" s="1"/>
  <c r="V78" i="3"/>
  <c r="V80" i="3" s="1"/>
  <c r="EY78" i="3"/>
  <c r="EY79" i="3" s="1"/>
  <c r="CH78" i="3"/>
  <c r="CH80" i="3" s="1"/>
  <c r="FG78" i="3"/>
  <c r="FG79" i="3" s="1"/>
  <c r="CS78" i="3"/>
  <c r="DO79" i="3"/>
  <c r="BB78" i="3"/>
  <c r="BB80" i="3" s="1"/>
  <c r="EU79" i="3"/>
  <c r="CX79" i="3"/>
  <c r="EK78" i="3"/>
  <c r="EK79" i="3" s="1"/>
  <c r="AT78" i="3"/>
  <c r="AT80" i="3" s="1"/>
  <c r="CM78" i="3"/>
  <c r="CM80" i="3" s="1"/>
  <c r="BO78" i="3"/>
  <c r="BO80" i="3" s="1"/>
  <c r="AA78" i="3"/>
  <c r="AA80" i="3" s="1"/>
  <c r="F78" i="3"/>
  <c r="F80" i="3" s="1"/>
  <c r="BR78" i="3"/>
  <c r="BR80" i="3" s="1"/>
  <c r="EB2" i="3"/>
  <c r="DT2" i="3"/>
  <c r="DL2" i="3"/>
  <c r="DD2" i="3"/>
  <c r="FN2" i="3"/>
  <c r="FF2" i="3"/>
  <c r="EX2" i="3"/>
  <c r="EP2" i="3"/>
  <c r="EH2" i="3"/>
  <c r="DZ2" i="3"/>
  <c r="DR2" i="3"/>
  <c r="DJ2" i="3"/>
  <c r="DB2" i="3"/>
  <c r="CT2" i="3"/>
  <c r="FP16" i="3"/>
  <c r="FP17" i="3" s="1"/>
  <c r="FP2" i="3" s="1"/>
  <c r="EZ16" i="3"/>
  <c r="EZ17" i="3" s="1"/>
  <c r="EZ2" i="3" s="1"/>
  <c r="FO2" i="3"/>
  <c r="FG2" i="3"/>
  <c r="EY2" i="3"/>
  <c r="EQ2" i="3"/>
  <c r="EI2" i="3"/>
  <c r="EA2" i="3"/>
  <c r="DS2" i="3"/>
  <c r="DK2" i="3"/>
  <c r="DC2" i="3"/>
  <c r="CU2" i="3"/>
  <c r="FM2" i="3"/>
  <c r="FE2" i="3"/>
  <c r="EW2" i="3"/>
  <c r="EO2" i="3"/>
  <c r="EG2" i="3"/>
  <c r="DY2" i="3"/>
  <c r="DQ2" i="3"/>
  <c r="DI2" i="3"/>
  <c r="DA2" i="3"/>
  <c r="CS2" i="3"/>
  <c r="FK2" i="3"/>
  <c r="FC2" i="3"/>
  <c r="EU2" i="3"/>
  <c r="EM2" i="3"/>
  <c r="EE2" i="3"/>
  <c r="DW2" i="3"/>
  <c r="DO2" i="3"/>
  <c r="DG2" i="3"/>
  <c r="CY2" i="3"/>
  <c r="CQ2" i="3"/>
  <c r="FQ2" i="3"/>
  <c r="FI2" i="3"/>
  <c r="FA2" i="3"/>
  <c r="ES2" i="3"/>
  <c r="EK2" i="3"/>
  <c r="EC2" i="3"/>
  <c r="DU2" i="3"/>
  <c r="DM2" i="3"/>
  <c r="DE2" i="3"/>
  <c r="CW2" i="3"/>
  <c r="CO2" i="3"/>
  <c r="BU78" i="3"/>
  <c r="BU79" i="3" s="1"/>
  <c r="BY78" i="3"/>
  <c r="BY79" i="3" s="1"/>
  <c r="BQ78" i="3"/>
  <c r="BQ79" i="3" s="1"/>
  <c r="BI78" i="3"/>
  <c r="BI79" i="3" s="1"/>
  <c r="BA78" i="3"/>
  <c r="BA79" i="3" s="1"/>
  <c r="M78" i="3"/>
  <c r="M79" i="3" s="1"/>
  <c r="E78" i="3"/>
  <c r="E79" i="3" s="1"/>
  <c r="AQ78" i="3"/>
  <c r="AQ80" i="3" s="1"/>
  <c r="K78" i="3"/>
  <c r="K80" i="3" s="1"/>
  <c r="BW78" i="3"/>
  <c r="BW80" i="3" s="1"/>
  <c r="BG78" i="3"/>
  <c r="BG79" i="3" s="1"/>
  <c r="AI78" i="3"/>
  <c r="AI79" i="3" s="1"/>
  <c r="S78" i="3"/>
  <c r="S79" i="3" s="1"/>
  <c r="CE78" i="3"/>
  <c r="CE79" i="3" s="1"/>
  <c r="CL78" i="3"/>
  <c r="CL80" i="3" s="1"/>
  <c r="AP78" i="3"/>
  <c r="AP79" i="3" s="1"/>
  <c r="R78" i="3"/>
  <c r="R80" i="3" s="1"/>
  <c r="CA78" i="3"/>
  <c r="CA80" i="3" s="1"/>
  <c r="O78" i="3"/>
  <c r="O79" i="3" s="1"/>
  <c r="BS78" i="3"/>
  <c r="BS79" i="3" s="1"/>
  <c r="AE78" i="3"/>
  <c r="AE79" i="3" s="1"/>
  <c r="AK78" i="3"/>
  <c r="AK79" i="3" s="1"/>
  <c r="BK78" i="3"/>
  <c r="BK79" i="3" s="1"/>
  <c r="G78" i="3"/>
  <c r="G79" i="3" s="1"/>
  <c r="BX78" i="3"/>
  <c r="BX80" i="3" s="1"/>
  <c r="CG78" i="3"/>
  <c r="CG79" i="3" s="1"/>
  <c r="U78" i="3"/>
  <c r="U79" i="3" s="1"/>
  <c r="CJ78" i="3"/>
  <c r="CJ79" i="3" s="1"/>
  <c r="BT78" i="3"/>
  <c r="BT79" i="3" s="1"/>
  <c r="CN78" i="3"/>
  <c r="CN79" i="3" s="1"/>
  <c r="BH78" i="3"/>
  <c r="BH80" i="3" s="1"/>
  <c r="AM78" i="3"/>
  <c r="AM80" i="3" s="1"/>
  <c r="W78" i="3"/>
  <c r="W80" i="3" s="1"/>
  <c r="AC78" i="3"/>
  <c r="AC80" i="3" s="1"/>
  <c r="CF78" i="3"/>
  <c r="CF79" i="3" s="1"/>
  <c r="AV78" i="3"/>
  <c r="AV79" i="3" s="1"/>
  <c r="X78" i="3"/>
  <c r="X79" i="3" s="1"/>
  <c r="H78" i="3"/>
  <c r="H79" i="3" s="1"/>
  <c r="CD78" i="3"/>
  <c r="CD79" i="3" s="1"/>
  <c r="BV78" i="3"/>
  <c r="BV80" i="3" s="1"/>
  <c r="BF78" i="3"/>
  <c r="BF79" i="3" s="1"/>
  <c r="AX78" i="3"/>
  <c r="AX79" i="3" s="1"/>
  <c r="AH78" i="3"/>
  <c r="AH79" i="3" s="1"/>
  <c r="Z78" i="3"/>
  <c r="Z79" i="3" s="1"/>
  <c r="J78" i="3"/>
  <c r="J79" i="3" s="1"/>
  <c r="CI78" i="3"/>
  <c r="CI80" i="3" s="1"/>
  <c r="AU78" i="3"/>
  <c r="AU79" i="3" s="1"/>
  <c r="AL79" i="3"/>
  <c r="AS78" i="3"/>
  <c r="AS79" i="3" s="1"/>
  <c r="CK78" i="3"/>
  <c r="CK80" i="3" s="1"/>
  <c r="CC78" i="3"/>
  <c r="CC79" i="3" s="1"/>
  <c r="BE78" i="3"/>
  <c r="BE79" i="3" s="1"/>
  <c r="AW78" i="3"/>
  <c r="AW79" i="3" s="1"/>
  <c r="AO78" i="3"/>
  <c r="AO79" i="3" s="1"/>
  <c r="AG78" i="3"/>
  <c r="Y78" i="3"/>
  <c r="Q78" i="3"/>
  <c r="I78" i="3"/>
  <c r="P78" i="3"/>
  <c r="P80" i="3" s="1"/>
  <c r="BC78" i="3"/>
  <c r="BC79" i="3" s="1"/>
  <c r="CB78" i="3"/>
  <c r="CB80" i="3" s="1"/>
  <c r="BM78" i="3"/>
  <c r="BL78" i="3"/>
  <c r="BL80" i="3" s="1"/>
  <c r="AN78" i="3"/>
  <c r="AN79" i="3" s="1"/>
  <c r="EE79" i="3"/>
  <c r="EE80" i="3"/>
  <c r="DC79" i="3"/>
  <c r="FO79" i="3"/>
  <c r="FO80" i="3"/>
  <c r="ET79" i="3"/>
  <c r="DF80" i="3"/>
  <c r="DF79" i="3"/>
  <c r="EX79" i="3"/>
  <c r="EX80" i="3"/>
  <c r="FD78" i="3"/>
  <c r="DK78" i="3"/>
  <c r="DS79" i="3"/>
  <c r="DS80" i="3"/>
  <c r="EI83" i="3"/>
  <c r="CL79" i="3"/>
  <c r="FR80" i="3"/>
  <c r="FR79" i="3"/>
  <c r="EP80" i="3"/>
  <c r="FL83" i="3"/>
  <c r="DN79" i="3"/>
  <c r="FF80" i="3"/>
  <c r="EH80" i="3"/>
  <c r="EH79" i="3"/>
  <c r="FE80" i="3"/>
  <c r="EC80" i="3"/>
  <c r="EL80" i="3"/>
  <c r="EL79" i="3"/>
  <c r="CU79" i="3"/>
  <c r="CU80" i="3"/>
  <c r="ED80" i="3"/>
  <c r="ED79" i="3"/>
  <c r="DY79" i="3"/>
  <c r="DY80" i="3"/>
  <c r="EF80" i="3"/>
  <c r="DW80" i="3"/>
  <c r="BZ78" i="3"/>
  <c r="BN78" i="3"/>
  <c r="N78" i="3"/>
  <c r="AY78" i="3"/>
  <c r="ER78" i="3"/>
  <c r="DD78" i="3"/>
  <c r="CV78" i="3"/>
  <c r="BP78" i="3"/>
  <c r="AZ78" i="3"/>
  <c r="AR78" i="3"/>
  <c r="AJ78" i="3"/>
  <c r="AB78" i="3"/>
  <c r="T78" i="3"/>
  <c r="L78" i="3"/>
  <c r="D78" i="3"/>
  <c r="FP78" i="3"/>
  <c r="AD78" i="3"/>
  <c r="CR78" i="3"/>
  <c r="BD78" i="3"/>
  <c r="FK83" i="3"/>
  <c r="DV79" i="3"/>
  <c r="BJ78" i="3"/>
  <c r="DP78" i="3"/>
  <c r="CP78" i="3"/>
  <c r="AF78" i="3"/>
  <c r="BR79" i="3"/>
  <c r="C15" i="3"/>
  <c r="FM79" i="3" l="1"/>
  <c r="FG80" i="3"/>
  <c r="O80" i="3"/>
  <c r="O83" i="3" s="1"/>
  <c r="U80" i="3"/>
  <c r="BG80" i="3"/>
  <c r="EI79" i="3"/>
  <c r="EQ79" i="3"/>
  <c r="BK80" i="3"/>
  <c r="BK83" i="3" s="1"/>
  <c r="CI79" i="3"/>
  <c r="CQ79" i="3"/>
  <c r="CD80" i="3"/>
  <c r="AQ79" i="3"/>
  <c r="DU80" i="3"/>
  <c r="DU83" i="3" s="1"/>
  <c r="DR79" i="3"/>
  <c r="FI79" i="3"/>
  <c r="BH79" i="3"/>
  <c r="CH79" i="3"/>
  <c r="DM80" i="3"/>
  <c r="DM83" i="3" s="1"/>
  <c r="AM79" i="3"/>
  <c r="EM80" i="3"/>
  <c r="EM83" i="3" s="1"/>
  <c r="DA80" i="3"/>
  <c r="DA83" i="3" s="1"/>
  <c r="M80" i="3"/>
  <c r="FN80" i="3"/>
  <c r="FN83" i="3" s="1"/>
  <c r="EY80" i="3"/>
  <c r="AK80" i="3"/>
  <c r="F79" i="3"/>
  <c r="EG79" i="3"/>
  <c r="EZ79" i="3"/>
  <c r="EO79" i="3"/>
  <c r="FL79" i="3"/>
  <c r="R79" i="3"/>
  <c r="CY80" i="3"/>
  <c r="CY83" i="3" s="1"/>
  <c r="DH80" i="3"/>
  <c r="DH83" i="3" s="1"/>
  <c r="AA79" i="3"/>
  <c r="EK80" i="3"/>
  <c r="EK83" i="3" s="1"/>
  <c r="BU80" i="3"/>
  <c r="DZ79" i="3"/>
  <c r="FJ79" i="3"/>
  <c r="DE80" i="3"/>
  <c r="DE83" i="3" s="1"/>
  <c r="EA79" i="3"/>
  <c r="DI80" i="3"/>
  <c r="DI83" i="3" s="1"/>
  <c r="K79" i="3"/>
  <c r="DX79" i="3"/>
  <c r="CW80" i="3"/>
  <c r="CW83" i="3" s="1"/>
  <c r="V79" i="3"/>
  <c r="FB79" i="3"/>
  <c r="ES79" i="3"/>
  <c r="DQ80" i="3"/>
  <c r="DQ83" i="3" s="1"/>
  <c r="AT79" i="3"/>
  <c r="BW79" i="3"/>
  <c r="EN80" i="3"/>
  <c r="EN83" i="3" s="1"/>
  <c r="DB80" i="3"/>
  <c r="DB83" i="3" s="1"/>
  <c r="AC79" i="3"/>
  <c r="CO79" i="3"/>
  <c r="FA80" i="3"/>
  <c r="FA83" i="3" s="1"/>
  <c r="AI80" i="3"/>
  <c r="FQ80" i="3"/>
  <c r="FQ83" i="3" s="1"/>
  <c r="EW80" i="3"/>
  <c r="EW83" i="3" s="1"/>
  <c r="EB79" i="3"/>
  <c r="CK79" i="3"/>
  <c r="DG79" i="3"/>
  <c r="BB79" i="3"/>
  <c r="BO79" i="3"/>
  <c r="CZ80" i="3"/>
  <c r="CZ83" i="3" s="1"/>
  <c r="BI80" i="3"/>
  <c r="AU80" i="3"/>
  <c r="AU83" i="3" s="1"/>
  <c r="CJ80" i="3"/>
  <c r="BA80" i="3"/>
  <c r="DJ80" i="3"/>
  <c r="DJ83" i="3" s="1"/>
  <c r="S80" i="3"/>
  <c r="S83" i="3" s="1"/>
  <c r="FK79" i="3"/>
  <c r="FH80" i="3"/>
  <c r="FH83" i="3" s="1"/>
  <c r="EV80" i="3"/>
  <c r="EV83" i="3" s="1"/>
  <c r="H80" i="3"/>
  <c r="AX80" i="3"/>
  <c r="CT80" i="3"/>
  <c r="CT83" i="3" s="1"/>
  <c r="CT79" i="3"/>
  <c r="AP80" i="3"/>
  <c r="AO80" i="3"/>
  <c r="EJ80" i="3"/>
  <c r="EJ83" i="3" s="1"/>
  <c r="EJ79" i="3"/>
  <c r="DT80" i="3"/>
  <c r="DT83" i="3" s="1"/>
  <c r="DT79" i="3"/>
  <c r="AV80" i="3"/>
  <c r="Z80" i="3"/>
  <c r="E80" i="3"/>
  <c r="BT80" i="3"/>
  <c r="BT83" i="3" s="1"/>
  <c r="AE80" i="3"/>
  <c r="AE83" i="3" s="1"/>
  <c r="DL79" i="3"/>
  <c r="DL80" i="3"/>
  <c r="DL83" i="3" s="1"/>
  <c r="CF80" i="3"/>
  <c r="P79" i="3"/>
  <c r="CS79" i="3"/>
  <c r="CS80" i="3"/>
  <c r="CS83" i="3" s="1"/>
  <c r="CE80" i="3"/>
  <c r="CM79" i="3"/>
  <c r="BS80" i="3"/>
  <c r="BS83" i="3" s="1"/>
  <c r="BE80" i="3"/>
  <c r="BQ80" i="3"/>
  <c r="AH80" i="3"/>
  <c r="CC80" i="3"/>
  <c r="CC83" i="3" s="1"/>
  <c r="C16" i="3"/>
  <c r="C17" i="3" s="1"/>
  <c r="C2" i="3" s="1"/>
  <c r="BF80" i="3"/>
  <c r="CA79" i="3"/>
  <c r="CN80" i="3"/>
  <c r="CN83" i="3" s="1"/>
  <c r="X80" i="3"/>
  <c r="AS80" i="3"/>
  <c r="CG80" i="3"/>
  <c r="BY80" i="3"/>
  <c r="BC80" i="3"/>
  <c r="J80" i="3"/>
  <c r="AN80" i="3"/>
  <c r="W79" i="3"/>
  <c r="BX79" i="3"/>
  <c r="Q79" i="3"/>
  <c r="Q80" i="3"/>
  <c r="Q83" i="3" s="1"/>
  <c r="AG79" i="3"/>
  <c r="AG80" i="3"/>
  <c r="BM79" i="3"/>
  <c r="BM80" i="3"/>
  <c r="AW80" i="3"/>
  <c r="AW83" i="3" s="1"/>
  <c r="BL79" i="3"/>
  <c r="CB79" i="3"/>
  <c r="Y79" i="3"/>
  <c r="Y80" i="3"/>
  <c r="BV79" i="3"/>
  <c r="G80" i="3"/>
  <c r="G83" i="3" s="1"/>
  <c r="I79" i="3"/>
  <c r="I80" i="3"/>
  <c r="CP80" i="3"/>
  <c r="CP83" i="3" s="1"/>
  <c r="CP79" i="3"/>
  <c r="DR83" i="3"/>
  <c r="AJ79" i="3"/>
  <c r="AJ80" i="3"/>
  <c r="EL83" i="3"/>
  <c r="EY83" i="3"/>
  <c r="EA83" i="3"/>
  <c r="FG83" i="3"/>
  <c r="AD80" i="3"/>
  <c r="AD79" i="3"/>
  <c r="AR80" i="3"/>
  <c r="AR79" i="3"/>
  <c r="BN80" i="3"/>
  <c r="BN79" i="3"/>
  <c r="FM83" i="3"/>
  <c r="EQ83" i="3"/>
  <c r="FO83" i="3"/>
  <c r="BD80" i="3"/>
  <c r="BD83" i="3" s="1"/>
  <c r="BD79" i="3"/>
  <c r="EO83" i="3"/>
  <c r="DP80" i="3"/>
  <c r="DP79" i="3"/>
  <c r="AZ79" i="3"/>
  <c r="AZ80" i="3"/>
  <c r="BZ80" i="3"/>
  <c r="BZ83" i="3" s="1"/>
  <c r="BZ79" i="3"/>
  <c r="EP83" i="3"/>
  <c r="DK79" i="3"/>
  <c r="DK80" i="3"/>
  <c r="EX83" i="3"/>
  <c r="AB80" i="3"/>
  <c r="AB79" i="3"/>
  <c r="BJ80" i="3"/>
  <c r="BJ79" i="3"/>
  <c r="FD80" i="3"/>
  <c r="FD79" i="3"/>
  <c r="DC83" i="3"/>
  <c r="CR80" i="3"/>
  <c r="CR79" i="3"/>
  <c r="BP80" i="3"/>
  <c r="BP79" i="3"/>
  <c r="D79" i="3"/>
  <c r="D80" i="3"/>
  <c r="CV79" i="3"/>
  <c r="CV80" i="3"/>
  <c r="ED83" i="3"/>
  <c r="EG83" i="3"/>
  <c r="N80" i="3"/>
  <c r="N79" i="3"/>
  <c r="FP79" i="3"/>
  <c r="FP80" i="3"/>
  <c r="EH83" i="3"/>
  <c r="L80" i="3"/>
  <c r="L83" i="3" s="1"/>
  <c r="L79" i="3"/>
  <c r="DD80" i="3"/>
  <c r="DD79" i="3"/>
  <c r="DW83" i="3"/>
  <c r="DY83" i="3"/>
  <c r="CU83" i="3"/>
  <c r="EC83" i="3"/>
  <c r="DF83" i="3"/>
  <c r="EE83" i="3"/>
  <c r="AY79" i="3"/>
  <c r="AY80" i="3"/>
  <c r="AF80" i="3"/>
  <c r="AF83" i="3" s="1"/>
  <c r="AF79" i="3"/>
  <c r="T80" i="3"/>
  <c r="T79" i="3"/>
  <c r="ER80" i="3"/>
  <c r="ER79" i="3"/>
  <c r="EF83" i="3"/>
  <c r="FE83" i="3"/>
  <c r="FF83" i="3"/>
  <c r="DS83" i="3"/>
  <c r="FB83" i="3"/>
  <c r="FR83" i="3"/>
  <c r="CO83" i="3"/>
  <c r="BR83" i="3"/>
  <c r="AM83" i="3"/>
  <c r="BH83" i="3"/>
  <c r="CA83" i="3"/>
  <c r="CK83" i="3"/>
  <c r="W83" i="3"/>
  <c r="AV83" i="3"/>
  <c r="BX83" i="3"/>
  <c r="O12" i="1"/>
  <c r="FP83" i="3" l="1"/>
  <c r="DK83" i="3"/>
  <c r="FD83" i="3"/>
  <c r="DP83" i="3"/>
  <c r="CV83" i="3"/>
  <c r="ER83" i="3"/>
  <c r="DD83" i="3"/>
  <c r="CR83" i="3"/>
  <c r="N83" i="3"/>
  <c r="H83" i="3"/>
  <c r="CJ83" i="3"/>
  <c r="AN83" i="3"/>
  <c r="M83" i="3"/>
  <c r="BM83" i="3"/>
  <c r="BC83" i="3"/>
  <c r="CI83" i="3"/>
  <c r="AC83" i="3"/>
  <c r="BW83" i="3"/>
  <c r="BA83" i="3"/>
  <c r="CE83" i="3"/>
  <c r="CM83" i="3"/>
  <c r="BY83" i="3"/>
  <c r="E83" i="3"/>
  <c r="F83" i="3"/>
  <c r="U83" i="3"/>
  <c r="BF83" i="3"/>
  <c r="CD83" i="3"/>
  <c r="BN83" i="3"/>
  <c r="AK83" i="3"/>
  <c r="CL83" i="3"/>
  <c r="AS83" i="3"/>
  <c r="BU83" i="3"/>
  <c r="J83" i="3"/>
  <c r="CG83" i="3"/>
  <c r="I83" i="3"/>
  <c r="AH83" i="3"/>
  <c r="BQ83" i="3"/>
  <c r="K83" i="3"/>
  <c r="BG83" i="3"/>
  <c r="BV83" i="3"/>
  <c r="BI83" i="3"/>
  <c r="BJ83" i="3" l="1"/>
  <c r="Y83" i="3"/>
  <c r="T83" i="3"/>
  <c r="AZ83" i="3"/>
  <c r="R83" i="3"/>
  <c r="AX83" i="3"/>
  <c r="BO83" i="3"/>
  <c r="AT83" i="3"/>
  <c r="AR83" i="3"/>
  <c r="V83" i="3"/>
  <c r="AQ83" i="3"/>
  <c r="X83" i="3"/>
  <c r="CF83" i="3"/>
  <c r="AG83" i="3"/>
  <c r="AD83" i="3"/>
  <c r="AJ83" i="3"/>
  <c r="AI83" i="3"/>
  <c r="BE83" i="3"/>
  <c r="AO83" i="3"/>
  <c r="BL83" i="3"/>
  <c r="AP83" i="3"/>
  <c r="D83" i="3"/>
  <c r="BB83" i="3"/>
  <c r="P83" i="3"/>
  <c r="AL83" i="3"/>
  <c r="AA83" i="3"/>
  <c r="AY83" i="3"/>
  <c r="CH83" i="3"/>
  <c r="BP83" i="3"/>
  <c r="AB83" i="3"/>
  <c r="Z83" i="3"/>
  <c r="CB83" i="3"/>
  <c r="B7" i="4" l="1"/>
  <c r="O5" i="1" l="1"/>
  <c r="L5" i="1" s="1"/>
  <c r="N6" i="1" l="1"/>
  <c r="N13" i="1" s="1"/>
  <c r="M6" i="1"/>
  <c r="M13" i="1" s="1"/>
  <c r="L6" i="1"/>
  <c r="L13" i="1" s="1"/>
  <c r="J6" i="1"/>
  <c r="J13" i="1" s="1"/>
  <c r="K6" i="1"/>
  <c r="K13" i="1" s="1"/>
  <c r="K5" i="1"/>
  <c r="K12" i="1" s="1"/>
  <c r="N5" i="1"/>
  <c r="N12" i="1" s="1"/>
  <c r="J5" i="1"/>
  <c r="J12" i="1" s="1"/>
  <c r="M5" i="1"/>
  <c r="M12" i="1" s="1"/>
  <c r="L12" i="1"/>
  <c r="G3" i="11"/>
  <c r="N14" i="1" l="1"/>
  <c r="K14" i="1"/>
  <c r="O13" i="1"/>
  <c r="M14" i="1"/>
  <c r="J14" i="1"/>
  <c r="L14" i="1"/>
  <c r="O6" i="1"/>
  <c r="N7" i="1" s="1"/>
  <c r="N11" i="1" s="1"/>
  <c r="D4" i="4"/>
  <c r="K42" i="6" l="1"/>
  <c r="J19" i="10"/>
  <c r="J17" i="10"/>
  <c r="K18" i="6"/>
  <c r="C21" i="10"/>
  <c r="K6" i="6"/>
  <c r="C19" i="10"/>
  <c r="K45" i="4"/>
  <c r="K17" i="4"/>
  <c r="C17" i="10"/>
  <c r="K33" i="4"/>
  <c r="B24" i="8"/>
  <c r="K6" i="8"/>
  <c r="K30" i="6"/>
  <c r="D6" i="4"/>
  <c r="C26" i="10"/>
  <c r="L7" i="1"/>
  <c r="L11" i="1" s="1"/>
  <c r="O14" i="1"/>
  <c r="K7" i="1"/>
  <c r="K11" i="1" s="1"/>
  <c r="M7" i="1"/>
  <c r="M11" i="1" s="1"/>
  <c r="J7" i="1"/>
  <c r="J11" i="1" s="1"/>
  <c r="O11" i="1" l="1"/>
  <c r="O7" i="1"/>
  <c r="I9" i="8"/>
  <c r="I11" i="8"/>
  <c r="I7" i="8"/>
  <c r="I49" i="6"/>
  <c r="I47" i="6"/>
  <c r="I45" i="6"/>
  <c r="I43" i="6"/>
  <c r="I35" i="6"/>
  <c r="I33" i="6"/>
  <c r="I31" i="6"/>
  <c r="I23" i="6"/>
  <c r="I21" i="6"/>
  <c r="I19" i="6"/>
  <c r="I11" i="6"/>
  <c r="I9" i="6"/>
  <c r="I7" i="6"/>
  <c r="I50" i="4"/>
  <c r="I48" i="4"/>
  <c r="I46" i="4"/>
  <c r="I38" i="4"/>
  <c r="I36" i="4"/>
  <c r="I34" i="4"/>
  <c r="I26" i="4"/>
  <c r="I24" i="4"/>
  <c r="I22" i="4"/>
  <c r="I20" i="4"/>
  <c r="I18" i="4"/>
  <c r="M5" i="4"/>
  <c r="M4" i="4"/>
  <c r="D5" i="4"/>
  <c r="E13" i="8" l="1"/>
  <c r="I13" i="8" s="1"/>
  <c r="E37" i="6"/>
  <c r="I37" i="6" s="1"/>
  <c r="E13" i="6"/>
  <c r="I13" i="6" s="1"/>
  <c r="B32" i="8"/>
  <c r="B40" i="8"/>
  <c r="E25" i="6"/>
  <c r="I25" i="6" s="1"/>
  <c r="B5" i="10"/>
  <c r="B48" i="8"/>
  <c r="E51" i="6"/>
  <c r="I51" i="6" s="1"/>
  <c r="E52" i="4"/>
  <c r="I52" i="4" s="1"/>
  <c r="E28" i="4"/>
  <c r="E40" i="4"/>
  <c r="I40" i="4" s="1"/>
  <c r="I28" i="4" l="1"/>
  <c r="M16" i="8" s="1"/>
  <c r="O16" i="8" s="1"/>
  <c r="F95" i="3"/>
  <c r="C75" i="3" l="1"/>
  <c r="C76" i="3" s="1"/>
  <c r="C78" i="3" s="1"/>
  <c r="C79" i="3" l="1"/>
  <c r="C80" i="3"/>
  <c r="C83" i="3" l="1"/>
  <c r="B82" i="3"/>
  <c r="F88" i="3"/>
  <c r="F92" i="3"/>
  <c r="F89" i="3"/>
  <c r="F93" i="3"/>
  <c r="F91" i="3"/>
  <c r="F90" i="3"/>
  <c r="F87" i="3"/>
  <c r="F94" i="3" l="1"/>
  <c r="D91" i="3" l="1"/>
  <c r="D87" i="3"/>
  <c r="D92" i="3"/>
  <c r="D89" i="3"/>
  <c r="D90" i="3"/>
  <c r="D88" i="3"/>
  <c r="D93" i="3"/>
</calcChain>
</file>

<file path=xl/sharedStrings.xml><?xml version="1.0" encoding="utf-8"?>
<sst xmlns="http://schemas.openxmlformats.org/spreadsheetml/2006/main" count="3125" uniqueCount="1180">
  <si>
    <t>Employee Code</t>
  </si>
  <si>
    <t>Employee Name</t>
  </si>
  <si>
    <t>Division</t>
  </si>
  <si>
    <t>Department</t>
  </si>
  <si>
    <t>Designation</t>
  </si>
  <si>
    <t>Name :</t>
  </si>
  <si>
    <t>Designation :</t>
  </si>
  <si>
    <t>Emp-No :</t>
  </si>
  <si>
    <t>Date Joined :</t>
  </si>
  <si>
    <t>Job knowledge</t>
  </si>
  <si>
    <t>Quality of work</t>
  </si>
  <si>
    <t>Quantity of work</t>
  </si>
  <si>
    <t>Teamwork/Co-operation</t>
  </si>
  <si>
    <t>Dependability/Responsibility</t>
  </si>
  <si>
    <t>Initiative</t>
  </si>
  <si>
    <t>Housekeeping, Safety and Cost Consciousness</t>
  </si>
  <si>
    <t>Attendance / Punctuality</t>
  </si>
  <si>
    <t>Strengths of the employee</t>
  </si>
  <si>
    <t>Weaknesses of the employee</t>
  </si>
  <si>
    <t>Recommendations for improvement of performance and personal (job related) skills</t>
  </si>
  <si>
    <t>What action plans regarding future work improvements, career development, etc have been discussed in the appraisal interview?</t>
  </si>
  <si>
    <t>Training</t>
  </si>
  <si>
    <t>a</t>
  </si>
  <si>
    <t>Competent knowledge to cope with the job requirement within his concern</t>
  </si>
  <si>
    <t>b</t>
  </si>
  <si>
    <t>Understanding of procedures and work methods</t>
  </si>
  <si>
    <t>c</t>
  </si>
  <si>
    <t>Ability in picking up new methods and practices</t>
  </si>
  <si>
    <t>d</t>
  </si>
  <si>
    <t>Able to cope with new problems and situations effectively</t>
  </si>
  <si>
    <t>e</t>
  </si>
  <si>
    <t>Creative and able to innovate, to do work in new ways and forms</t>
  </si>
  <si>
    <t>Total Score</t>
  </si>
  <si>
    <t>Average Score</t>
  </si>
  <si>
    <t>Meet standard of job requirement, accuracy and neatness</t>
  </si>
  <si>
    <t>Output is always of high quality</t>
  </si>
  <si>
    <t>Make efforts to improve his own performance</t>
  </si>
  <si>
    <t>Efficiency and volume of output</t>
  </si>
  <si>
    <t>Produces exceptional work beyond his assigned tasks</t>
  </si>
  <si>
    <t>Consistently meets deadlines</t>
  </si>
  <si>
    <t>Ability to gain co-operation from peers/subordinates</t>
  </si>
  <si>
    <t>Willingness to assume new / additional responsibilities</t>
  </si>
  <si>
    <t>Has strong sense of responsibility/urgency</t>
  </si>
  <si>
    <t>Exceptionally dedicated, industrious and conscientious in work. Put in best effort</t>
  </si>
  <si>
    <t>Displays resourcefulness and initiatives</t>
  </si>
  <si>
    <t>Self-starter and ability to learn thing by himself</t>
  </si>
  <si>
    <t>Frequently offers practical ideas and solutions. Constantly seeks new and better ways of doing things</t>
  </si>
  <si>
    <t>Understands and observes safety rules</t>
  </si>
  <si>
    <t>Conforming to company regulations / ISO requirements</t>
  </si>
  <si>
    <t>Keeps the workplace neat and tidy / takes good care of equipment</t>
  </si>
  <si>
    <t>Reduces wastage on work materials and processes</t>
  </si>
  <si>
    <t>Attendance and medical record. Without unauthorised absenteeism</t>
  </si>
  <si>
    <t>Always at the place of work</t>
  </si>
  <si>
    <t>Total Score (Out of 80) :</t>
  </si>
  <si>
    <t>Total Score Percentage :</t>
  </si>
  <si>
    <t>Overall Assessment Result :</t>
  </si>
  <si>
    <t>Enthusiastic in helping co-workers. 
Accepts instructions from supervisors well</t>
  </si>
  <si>
    <t>NAME</t>
  </si>
  <si>
    <t>Below Average</t>
  </si>
  <si>
    <t>Average</t>
  </si>
  <si>
    <t>Good</t>
  </si>
  <si>
    <t>Very Good</t>
  </si>
  <si>
    <t>Excellent</t>
  </si>
  <si>
    <t>&gt;= formula</t>
  </si>
  <si>
    <t>Description</t>
  </si>
  <si>
    <t>Score</t>
  </si>
  <si>
    <t>Guideline</t>
  </si>
  <si>
    <t>Actual</t>
  </si>
  <si>
    <t>(%)</t>
  </si>
  <si>
    <t>49 &amp; below</t>
  </si>
  <si>
    <t>50-59</t>
  </si>
  <si>
    <t>60-69</t>
  </si>
  <si>
    <t>70-74</t>
  </si>
  <si>
    <t>75-79</t>
  </si>
  <si>
    <t>80-89</t>
  </si>
  <si>
    <t>90-100</t>
  </si>
  <si>
    <t>&gt;=</t>
  </si>
  <si>
    <t>Num</t>
  </si>
  <si>
    <t>Fml</t>
  </si>
  <si>
    <t>Total :</t>
  </si>
  <si>
    <t>Actual HC :</t>
  </si>
  <si>
    <t>JOB KNOWLEDGE</t>
  </si>
  <si>
    <t>QUALITY OF WORK</t>
  </si>
  <si>
    <t>PERFORMANCE APPRAISAL FORM</t>
  </si>
  <si>
    <t>Name</t>
  </si>
  <si>
    <t>Emp-No</t>
  </si>
  <si>
    <t>Date Joined</t>
  </si>
  <si>
    <t>Explain specific strengths and weakness</t>
  </si>
  <si>
    <t>PERFORMANCE FACTORS</t>
  </si>
  <si>
    <t>1.</t>
  </si>
  <si>
    <t>1.1</t>
  </si>
  <si>
    <t>TOTAL SCORE</t>
  </si>
  <si>
    <t>1.2</t>
  </si>
  <si>
    <t>1.3</t>
  </si>
  <si>
    <t>The level of relevant knowledge and skills that are required for the job. The ability to effectively apply the knowledge and skills towards the perfromance of the job.</t>
  </si>
  <si>
    <t>The outcome of the appraisee's efforts and the quality of his work.</t>
  </si>
  <si>
    <t>The appraisee's capacity for work, the quantum of actual work done by him/her and whether these are adequate for the work to be carried out successfully. Consideration of work volume must take into account of the time consumed and the quatum and quality of work produced during that time.</t>
  </si>
  <si>
    <t>/ 3</t>
  </si>
  <si>
    <t>/ 5</t>
  </si>
  <si>
    <t>SCORE</t>
  </si>
  <si>
    <t>:</t>
  </si>
  <si>
    <t>COMMENTS</t>
  </si>
  <si>
    <t>(For Non-Executive and Direct Labour)</t>
  </si>
  <si>
    <t>PERFORMANCE SUMMARY</t>
  </si>
  <si>
    <t>Summarize the employee's overall performance, considering responsibilities, results, performance factors and processes. This summary may reflect how the employee performed against objectives without comparing this performance with others doing similar work.</t>
  </si>
  <si>
    <t>%</t>
  </si>
  <si>
    <t>/ 80 X 100 =</t>
  </si>
  <si>
    <t>TOTAL SCORE
(Out of 80)</t>
  </si>
  <si>
    <t>TRAINING</t>
  </si>
  <si>
    <t>List any formal training employee has attended in the past one year and any training planned for the next one year.</t>
  </si>
  <si>
    <t>OVERALL ASSESSMENT (Please tick)</t>
  </si>
  <si>
    <t>PERCENTAGE</t>
  </si>
  <si>
    <t>90 - 100</t>
  </si>
  <si>
    <t>Check below the statement which best reflect your present thinking with respect to the career development of the individual :</t>
  </si>
  <si>
    <t>Employee's current performance is satisfactory</t>
  </si>
  <si>
    <t>Job Enlargement / Additional Responsibilities :</t>
  </si>
  <si>
    <t>Better suited for another field. Which field?</t>
  </si>
  <si>
    <t>Other comments :</t>
  </si>
  <si>
    <t>Recommendation from Supervisor :</t>
  </si>
  <si>
    <t>80 - 89</t>
  </si>
  <si>
    <t>70 - 79</t>
  </si>
  <si>
    <t>50 - 69</t>
  </si>
  <si>
    <t>49 and below</t>
  </si>
  <si>
    <t>Recommendation from Department Manager :</t>
  </si>
  <si>
    <t>Supervisor's name, signature &amp; date</t>
  </si>
  <si>
    <t>Department Manager's name, signature &amp; date</t>
  </si>
  <si>
    <t>Appraisee's acknowledgement</t>
  </si>
  <si>
    <t>Name &amp; Signature</t>
  </si>
  <si>
    <t>Date</t>
  </si>
  <si>
    <t>Willingness to help others. Ability to work in harmony with others as a team.
Ability to be a cooperative and congenial member of the work group.</t>
  </si>
  <si>
    <t>The attitude towards the job as reflected in the sense of responsibility towards work and the company.
Interest, enthusiasm and effort shown in job.</t>
  </si>
  <si>
    <t>Ability to proceed with the job without being told every detail.</t>
  </si>
  <si>
    <t>The willingness to comply with safety rules and regulations and concern for the safety of fellow workers.</t>
  </si>
  <si>
    <t>The regularity of the appraisee's attendance at work and punctuality.</t>
  </si>
  <si>
    <t>CRMCO</t>
  </si>
  <si>
    <t>A team worker. Has good relationship with colleagues and is well accepted by them</t>
  </si>
  <si>
    <t>Never late to work. Report to work place on time, I.e. after meal / tea breaks.</t>
  </si>
  <si>
    <t>QUANTITY OF WORK</t>
  </si>
  <si>
    <t>SELECT NAME FROM NAME LIST BELOW :</t>
  </si>
  <si>
    <r>
      <t xml:space="preserve">Period under review </t>
    </r>
    <r>
      <rPr>
        <b/>
        <sz val="10"/>
        <color rgb="FFFF0000"/>
        <rFont val="Cambria"/>
        <family val="1"/>
      </rPr>
      <t>FROM</t>
    </r>
    <r>
      <rPr>
        <b/>
        <sz val="10"/>
        <color rgb="FF0000FF"/>
        <rFont val="Cambria"/>
        <family val="1"/>
      </rPr>
      <t xml:space="preserve"> :</t>
    </r>
  </si>
  <si>
    <r>
      <t xml:space="preserve">Period under review </t>
    </r>
    <r>
      <rPr>
        <b/>
        <sz val="10"/>
        <color rgb="FFFF0000"/>
        <rFont val="Cambria"/>
        <family val="1"/>
      </rPr>
      <t>TO</t>
    </r>
    <r>
      <rPr>
        <b/>
        <sz val="10"/>
        <color rgb="FF0000FF"/>
        <rFont val="Cambria"/>
        <family val="1"/>
      </rPr>
      <t xml:space="preserve"> :</t>
    </r>
  </si>
  <si>
    <t>PRINT LIST</t>
  </si>
  <si>
    <t>TOTAL :</t>
  </si>
  <si>
    <t>Appraiser Name</t>
  </si>
  <si>
    <t>PLANNED %</t>
  </si>
  <si>
    <t>Total</t>
  </si>
  <si>
    <t>Expected Nos.</t>
  </si>
  <si>
    <t>Actual Nos.</t>
  </si>
  <si>
    <t>Actual %</t>
  </si>
  <si>
    <t>A</t>
  </si>
  <si>
    <t>B</t>
  </si>
  <si>
    <t>C</t>
  </si>
  <si>
    <t>D</t>
  </si>
  <si>
    <t>E</t>
  </si>
  <si>
    <t>Guideline %</t>
  </si>
  <si>
    <t>Guideline Headcount</t>
  </si>
  <si>
    <t>Actual Headcount</t>
  </si>
  <si>
    <t>Difference</t>
  </si>
  <si>
    <t>/ 4</t>
  </si>
  <si>
    <t>LIM AH TOO</t>
  </si>
  <si>
    <t>ZHU YAOGUANG</t>
  </si>
  <si>
    <t>LIEW SENG EIK</t>
  </si>
  <si>
    <t>WILSON CHAN WAI SHEN</t>
  </si>
  <si>
    <t>ZHAI YAN</t>
  </si>
  <si>
    <t>ZHU XINGHU</t>
  </si>
  <si>
    <t>JIN FEI</t>
  </si>
  <si>
    <t>SUN XIWEN</t>
  </si>
  <si>
    <t>WANG ZHEMING</t>
  </si>
  <si>
    <t>PHRASE</t>
  </si>
  <si>
    <t>GRADE</t>
  </si>
  <si>
    <t>Highly flexible with the ability to adjust to the ever-changing needs of the company.</t>
  </si>
  <si>
    <t>A highly creative person who is skilled in finding ways to perfect the performance</t>
  </si>
  <si>
    <t>A great supporter of new ideas, goals and working methods no matter who suggests them</t>
  </si>
  <si>
    <t>Doesn't need close supervision in any functions, works well without any supervision</t>
  </si>
  <si>
    <t>Takes the initiative in overcoming obstacles and meeting the organization's goals</t>
  </si>
  <si>
    <t>Always willing to accept responsibility for the tasks given and remain accountable</t>
  </si>
  <si>
    <t>Always ready to take on more tasks even before finishing the first</t>
  </si>
  <si>
    <t>Must always be under close supervision to perform or complete any task</t>
  </si>
  <si>
    <t>Has contributed immensely in her/his field of expertise.</t>
  </si>
  <si>
    <t>Looks for innovative ways to apply his skills and generates ways to improve procedures and processes.</t>
  </si>
  <si>
    <t>Has superior job knowledge that he applies when performing tasks.</t>
  </si>
  <si>
    <t>Shows passion for learning and expanding his skills.</t>
  </si>
  <si>
    <t>Always utilizes opportunities to build his expertise and to upgrade his knowledge.</t>
  </si>
  <si>
    <t>Always seeks ways to use his knowledge to make improvements on the job</t>
  </si>
  <si>
    <t>Always ready to take on new tasks whenever it happens</t>
  </si>
  <si>
    <t xml:space="preserve">His attention to detail and drive to produce top-quality results has proven extremely valuable to the organization. </t>
  </si>
  <si>
    <t xml:space="preserve">His work in all that he does is superlative. </t>
  </si>
  <si>
    <t xml:space="preserve">Everybody knows in his team that he will do his high quality work anyway on time. </t>
  </si>
  <si>
    <t xml:space="preserve">He is very flexible and ensured that all his deliverables are of high quality. </t>
  </si>
  <si>
    <t xml:space="preserve">He is focused and dedicated to producing his very best at all times. </t>
  </si>
  <si>
    <t xml:space="preserve">Good listener and produces quality products. </t>
  </si>
  <si>
    <t>Produces more than expected in all assigned areas regardless of how high the output or production goals are set</t>
  </si>
  <si>
    <t>Fixes issues that affect the quantity of work one produces and derives ways to prevent these issues from recurring</t>
  </si>
  <si>
    <t>Works around productive colleagues who enjoy getting things done and avoids those who seek distraction or are not actively working</t>
  </si>
  <si>
    <t>Takes the time to learn and understand team members' strengths and weak points before delegating tasks in order to increase the team's productivity</t>
  </si>
  <si>
    <t>Always seeks opportunities to produce more work even if it means working extra hours or coming to work before the reporting time</t>
  </si>
  <si>
    <t>Is highly motivated and constantly offers outstanding suggestions to keep others motivated to exceed the company goals and expectations</t>
  </si>
  <si>
    <t>Need to improve skills to meet the output expectations.</t>
  </si>
  <si>
    <t>Listens carefully to what others are saying without interrupting them.</t>
  </si>
  <si>
    <t>Respects the ideas and opinions that the other team members have to say.</t>
  </si>
  <si>
    <t>Offers workable solutions to the various problems and ideas being faced by the team.</t>
  </si>
  <si>
    <t>Drives team-related work and activities forward and ensure tasks are handled to completion.</t>
  </si>
  <si>
    <t>Always ready to help other team members with their work to ensure it is completed on time.</t>
  </si>
  <si>
    <t>Expresses feelings and emotions in an open but non-confrontational way.</t>
  </si>
  <si>
    <t>Knows how to receive and give constructive feedback to other team members.</t>
  </si>
  <si>
    <t>Displays exceptional performance and keenness on tasks performed every day</t>
  </si>
  <si>
    <t>Ensures the performance is steady and strong regardless of any upcoming situation</t>
  </si>
  <si>
    <t>Keeps all commitments and works with coworkers to help them keep theirs</t>
  </si>
  <si>
    <t>Demonstrates solid performance consistently in all aspects of work done</t>
  </si>
  <si>
    <t>Handles all projects conscientiously from the beginning to the end</t>
  </si>
  <si>
    <t>Completely adheres to the laid out company rules without defaulting any of them</t>
  </si>
  <si>
    <t>Uses the promises made as the bond, always sticking by them</t>
  </si>
  <si>
    <t>Lets every employee know on a regular basis that safety is a major concern in one's business</t>
  </si>
  <si>
    <t>Always keep the workplace in 5s expectations and highly alert of safety.</t>
  </si>
  <si>
    <t>Always use the right tools in place</t>
  </si>
  <si>
    <t>NIL</t>
  </si>
  <si>
    <t>Her/his work shows that has enough skills for the job.</t>
  </si>
  <si>
    <t>GOH BOON SEANG</t>
  </si>
  <si>
    <t>KHO KEAN KOK</t>
  </si>
  <si>
    <t>WONG HONG CHUEN</t>
  </si>
  <si>
    <t>CHONG KOK SENG</t>
  </si>
  <si>
    <t>AHMAD FARIZUAN BIN ARSHAD</t>
  </si>
  <si>
    <t>MUHAMMAD HADI AZREEN BIN AZMAN</t>
  </si>
  <si>
    <t>AMIRUL HAKIM BIN NOORHALIDI</t>
  </si>
  <si>
    <t>HAN JIE GUANG, DONAVON</t>
  </si>
  <si>
    <t>TAN KIA CHUN</t>
  </si>
  <si>
    <t>LIAW LEE PIENG</t>
  </si>
  <si>
    <t>KOY CHING CHING</t>
  </si>
  <si>
    <t>SHUM CHEE CHOY</t>
  </si>
  <si>
    <t>GOH CSOO HWA</t>
  </si>
  <si>
    <t>KUAN KHEK PENG</t>
  </si>
  <si>
    <t>EU KUI PENG</t>
  </si>
  <si>
    <t>MUHAMMAD NABIL AKIF BIN MUHD ZULKIFLI</t>
  </si>
  <si>
    <t>KHOR YONG KUI</t>
  </si>
  <si>
    <t>MUHAMMAD AZAMUDDIN BIN ABDULLA</t>
  </si>
  <si>
    <t>MUHAMMAD SALAHUDDIN BIN MOHD AZIZI</t>
  </si>
  <si>
    <t>KRITHARAN MOORTHY</t>
  </si>
  <si>
    <t>LIEW YAU MING</t>
  </si>
  <si>
    <t>WEE GUAN HOE, ROY</t>
  </si>
  <si>
    <t>YAP PING LIANG</t>
  </si>
  <si>
    <t>TAN CHEE HONG</t>
  </si>
  <si>
    <t>ONG JUNXIONG</t>
  </si>
  <si>
    <t>LIN ZHENWEI</t>
  </si>
  <si>
    <t>THAM CHAN KEONG</t>
  </si>
  <si>
    <t>LOONG SAI WOEI</t>
  </si>
  <si>
    <t>FONG WEE SIONG</t>
  </si>
  <si>
    <t>WANG JUNLONG</t>
  </si>
  <si>
    <t>LI WENLONG</t>
  </si>
  <si>
    <t>WAN NING</t>
  </si>
  <si>
    <t>MOHD ZAKI BIN ABIDIN</t>
  </si>
  <si>
    <t>OU JIAN</t>
  </si>
  <si>
    <t>ABDUL RAZIQ BIN ZAINAL</t>
  </si>
  <si>
    <t>MUHAMMAD MUKHRISH BIN ZOLKIFLI</t>
  </si>
  <si>
    <t>LU HONGYUAN</t>
  </si>
  <si>
    <t>WAN FARAH SOFIA BINTI W AHMAD</t>
  </si>
  <si>
    <t>CHUA KEE WEI</t>
  </si>
  <si>
    <t>CHOO PAK MENG</t>
  </si>
  <si>
    <t>LIM SENG KEONG</t>
  </si>
  <si>
    <t>CHAN MENG CHIN</t>
  </si>
  <si>
    <t>KHOR CHIN GUAN</t>
  </si>
  <si>
    <t>HO XIAO HUI</t>
  </si>
  <si>
    <t>CHEONG WAI KIT</t>
  </si>
  <si>
    <t>LIU YUPENG</t>
  </si>
  <si>
    <t>LI CHENGCHENG</t>
  </si>
  <si>
    <t>LIEW KIM LIAN</t>
  </si>
  <si>
    <t>LEE TIAN HUI</t>
  </si>
  <si>
    <t>GOH WEE KIAT</t>
  </si>
  <si>
    <t>TAN MUI EE</t>
  </si>
  <si>
    <t>CHEN ZHIFENG</t>
  </si>
  <si>
    <t>DAI YUANXIA</t>
  </si>
  <si>
    <t>PAVINRAJ SELVARAJU</t>
  </si>
  <si>
    <t>YIN WAI KIT</t>
  </si>
  <si>
    <t>GONG YANJIE</t>
  </si>
  <si>
    <t>CHANG YOKE TENG</t>
  </si>
  <si>
    <t>SHA YUEXIAN</t>
  </si>
  <si>
    <t>ER MEI CHING</t>
  </si>
  <si>
    <t>ALIYA ZUEFIQAH BINTI MOHAMED ALI</t>
  </si>
  <si>
    <t>WONG YI QI</t>
  </si>
  <si>
    <t>SU SIEW KIONG</t>
  </si>
  <si>
    <t>WONG CHIEW PYNG</t>
  </si>
  <si>
    <t>CHENG WAI HOE</t>
  </si>
  <si>
    <t>LAI HAI FONG</t>
  </si>
  <si>
    <t>LOW YONG WHANG</t>
  </si>
  <si>
    <t>TEE AH GUAN</t>
  </si>
  <si>
    <t>ANNIE CHOO</t>
  </si>
  <si>
    <t>RAJESWARI D/O RAMASAMY</t>
  </si>
  <si>
    <t>WONG SOOI KEAN</t>
  </si>
  <si>
    <t>ZHENG YUNXIA</t>
  </si>
  <si>
    <t>CHEW SWEE CHUN</t>
  </si>
  <si>
    <t>DHANUSHIYA SELVANATHAN</t>
  </si>
  <si>
    <t>TAN LEE HUAH</t>
  </si>
  <si>
    <t>CHOW KAR KEONG</t>
  </si>
  <si>
    <t>LIONG CHUN LEN</t>
  </si>
  <si>
    <t>TAY SIEW HUAY</t>
  </si>
  <si>
    <t>HENG SUE KIANG</t>
  </si>
  <si>
    <t>LOH CHEE LENG</t>
  </si>
  <si>
    <t>PANG JIN</t>
  </si>
  <si>
    <t>NUR AZLINA BINTI MAHFUL</t>
  </si>
  <si>
    <t>2021 AI Rate (If no score avail)</t>
  </si>
  <si>
    <t>2021 AI Score</t>
  </si>
  <si>
    <t>Actual Score (from this sheet)</t>
  </si>
  <si>
    <t>Reference Score if available (from namelist)</t>
  </si>
  <si>
    <t>Grade :</t>
  </si>
  <si>
    <t>Score :</t>
  </si>
  <si>
    <t>Supervisor :</t>
  </si>
  <si>
    <t>CATEGORY</t>
  </si>
  <si>
    <t>Kau Chai Seng</t>
  </si>
  <si>
    <t>20149749</t>
  </si>
  <si>
    <t>KAU CHAI SENG</t>
  </si>
  <si>
    <t>20149888</t>
  </si>
  <si>
    <t>20150023</t>
  </si>
  <si>
    <t>20150095</t>
  </si>
  <si>
    <t>20159990</t>
  </si>
  <si>
    <t>20160199</t>
  </si>
  <si>
    <t>20160211</t>
  </si>
  <si>
    <t>QIU TAO</t>
  </si>
  <si>
    <t>20180386</t>
  </si>
  <si>
    <t>20180387</t>
  </si>
  <si>
    <t>20180421</t>
  </si>
  <si>
    <t>20180445</t>
  </si>
  <si>
    <t>20180451</t>
  </si>
  <si>
    <t>20180455</t>
  </si>
  <si>
    <t>20180456</t>
  </si>
  <si>
    <t>20180471</t>
  </si>
  <si>
    <t>20190478</t>
  </si>
  <si>
    <t>20190531</t>
  </si>
  <si>
    <t>20200646</t>
  </si>
  <si>
    <t>20200680</t>
  </si>
  <si>
    <t>20210704</t>
  </si>
  <si>
    <t>20210706</t>
  </si>
  <si>
    <t>20210714</t>
  </si>
  <si>
    <t>20210722</t>
  </si>
  <si>
    <t>20210758</t>
  </si>
  <si>
    <t>20210772</t>
  </si>
  <si>
    <t>20210807</t>
  </si>
  <si>
    <t>20210848</t>
  </si>
  <si>
    <t>20210893</t>
  </si>
  <si>
    <t>20210915</t>
  </si>
  <si>
    <t>20210923</t>
  </si>
  <si>
    <t>20220959</t>
  </si>
  <si>
    <t>20220982</t>
  </si>
  <si>
    <t>20220983</t>
  </si>
  <si>
    <t>20119049</t>
  </si>
  <si>
    <t>20149803</t>
  </si>
  <si>
    <t>20150039</t>
  </si>
  <si>
    <t>20210724</t>
  </si>
  <si>
    <t>20119092</t>
  </si>
  <si>
    <t>20129480</t>
  </si>
  <si>
    <t>20139626</t>
  </si>
  <si>
    <t>20150097</t>
  </si>
  <si>
    <t>20190487</t>
  </si>
  <si>
    <t>20044555</t>
  </si>
  <si>
    <t>TEO HWA CHOON</t>
  </si>
  <si>
    <t>KHONG KOK WEI</t>
  </si>
  <si>
    <t>20067230</t>
  </si>
  <si>
    <t>MUHAMMAD GADDAFI BIN SHUBAHI</t>
  </si>
  <si>
    <t>20180447</t>
  </si>
  <si>
    <t>TEE SOON HOCK</t>
  </si>
  <si>
    <t>20210929</t>
  </si>
  <si>
    <t>20220957</t>
  </si>
  <si>
    <t>MOHAMMAD HAFIZUL IMAN BIN MOHD SAID</t>
  </si>
  <si>
    <t>20220958</t>
  </si>
  <si>
    <t>NURUL BAZLAA BINTI AMINUDIN</t>
  </si>
  <si>
    <t>20220962</t>
  </si>
  <si>
    <t>MOHAMAD FARIZZUDDIN BIN MOHD FADZIL</t>
  </si>
  <si>
    <t>20220964</t>
  </si>
  <si>
    <t>KU MOHD NOOR AZAM BIN KU MOHD ALI</t>
  </si>
  <si>
    <t>20220969</t>
  </si>
  <si>
    <t>MUHAMMAD NAIM BIN MOHAMAD ADAM TOH</t>
  </si>
  <si>
    <t>20220973</t>
  </si>
  <si>
    <t>CHEN HONG SENG</t>
  </si>
  <si>
    <t>20220975</t>
  </si>
  <si>
    <t>IMRAN BIN AZME</t>
  </si>
  <si>
    <t>20220977</t>
  </si>
  <si>
    <t>MUHAMAD ASRAF BIN NORDIN</t>
  </si>
  <si>
    <t>20220978</t>
  </si>
  <si>
    <t>20220979</t>
  </si>
  <si>
    <t>MOHAMAD FARIS BIN MUSTAPHA</t>
  </si>
  <si>
    <t>20220981</t>
  </si>
  <si>
    <t>KUGENDRAN MUNIANDY</t>
  </si>
  <si>
    <t>20220985</t>
  </si>
  <si>
    <t>MUHAMMAD HAKIM BIN SHAMSUDIN</t>
  </si>
  <si>
    <t>20220986</t>
  </si>
  <si>
    <t>MUHAMMAD HAFIZUL HIRMI BIN MOHD AMIN</t>
  </si>
  <si>
    <t>20220987</t>
  </si>
  <si>
    <t>MUHAMMAD FIRDAUS BIN HAZIAN</t>
  </si>
  <si>
    <t>20220993</t>
  </si>
  <si>
    <t>ASHWEN RAMAIAH</t>
  </si>
  <si>
    <t>20220994</t>
  </si>
  <si>
    <t>RUVENTHRAN THANIGAJALAM</t>
  </si>
  <si>
    <t>20220995</t>
  </si>
  <si>
    <t>LOH CHANG SHENG</t>
  </si>
  <si>
    <t>20220996</t>
  </si>
  <si>
    <t>LOH CHOON HO</t>
  </si>
  <si>
    <t>20220997</t>
  </si>
  <si>
    <t xml:space="preserve">MOHAMAD IZZUDDIN BIN IBRAHIM </t>
  </si>
  <si>
    <t>20220998</t>
  </si>
  <si>
    <t>MOHANAMBAL SAMINATHAN</t>
  </si>
  <si>
    <t>20220999</t>
  </si>
  <si>
    <t>MOHD HANIFFUDDIN BIN MAZLAN</t>
  </si>
  <si>
    <t>20221000</t>
  </si>
  <si>
    <t>MUHAMAD AMMAR FARHAN MAULA MOHD AZAM</t>
  </si>
  <si>
    <t>20221001</t>
  </si>
  <si>
    <t>MUHAMMAD HAFIZ BIN MUSA</t>
  </si>
  <si>
    <t>20221002</t>
  </si>
  <si>
    <t>20221003</t>
  </si>
  <si>
    <t>MUHAMMAD HAFIQ BIN MOHD AZMI</t>
  </si>
  <si>
    <t>20221004</t>
  </si>
  <si>
    <t>MUHSIN RAZIN BIN MARWAZI</t>
  </si>
  <si>
    <t>20221005</t>
  </si>
  <si>
    <t>NEETHIYAN KRISHNAN</t>
  </si>
  <si>
    <t>20221007</t>
  </si>
  <si>
    <t>ROHINI KRISHNAN</t>
  </si>
  <si>
    <t>20221008</t>
  </si>
  <si>
    <t>SITI NABILA BINTI ABD WAHAB</t>
  </si>
  <si>
    <t>20221010</t>
  </si>
  <si>
    <t>WAN FAKHRUSY SYAKIRIN</t>
  </si>
  <si>
    <t>20221011</t>
  </si>
  <si>
    <t>DURGA A/P GOVINDAN</t>
  </si>
  <si>
    <t>20221012</t>
  </si>
  <si>
    <t>FAREYZAL IKMAL BIN AMRAN</t>
  </si>
  <si>
    <t>20221013</t>
  </si>
  <si>
    <t>IZZAT BIN JOHARI</t>
  </si>
  <si>
    <t>20221019</t>
  </si>
  <si>
    <t>MUHAMMAD KHALQIA BIN MOHD BLIA</t>
  </si>
  <si>
    <t>20221021</t>
  </si>
  <si>
    <t>CHIANG WING KEONG</t>
  </si>
  <si>
    <t>20221022</t>
  </si>
  <si>
    <t>IRFAN HAZWAN BIN ZAINUDDIN</t>
  </si>
  <si>
    <t>20221023</t>
  </si>
  <si>
    <t>LAM HONG SOON</t>
  </si>
  <si>
    <t>20221025</t>
  </si>
  <si>
    <t>20221026</t>
  </si>
  <si>
    <t>20221027</t>
  </si>
  <si>
    <t>MUHAMMAD WAHIDUDDIN AIMAN BIN ABD RAZAK</t>
  </si>
  <si>
    <t>20221031</t>
  </si>
  <si>
    <t>RAVIVARMAN ELLAN CHELVAN</t>
  </si>
  <si>
    <t>20221032</t>
  </si>
  <si>
    <t>WONG JENN HAN</t>
  </si>
  <si>
    <t>20221033</t>
  </si>
  <si>
    <t>YIP KIM WENG</t>
  </si>
  <si>
    <t>20221034</t>
  </si>
  <si>
    <t>20221036</t>
  </si>
  <si>
    <t>FARISZ NAUFAL MUHAMMAD FUAD</t>
  </si>
  <si>
    <t>20221037</t>
  </si>
  <si>
    <t>HANIS SYAMIM BIN CHE AB KARIM</t>
  </si>
  <si>
    <t>20221038</t>
  </si>
  <si>
    <t>JEVENDHERAN GANESAN</t>
  </si>
  <si>
    <t>20221039</t>
  </si>
  <si>
    <t>20221040</t>
  </si>
  <si>
    <t>MOHAMAD AMIER SYAFIQ BIN KAMAL BAKRI</t>
  </si>
  <si>
    <t>20221041</t>
  </si>
  <si>
    <t>MOHD NORFADZLY BIN MOHD NOOR</t>
  </si>
  <si>
    <t>20221042</t>
  </si>
  <si>
    <t>MUHAMMAD IRFAN BIN MOHD PAZLI</t>
  </si>
  <si>
    <t>20221043</t>
  </si>
  <si>
    <t>20221044</t>
  </si>
  <si>
    <t>NAVIN KUMAR K TANGGAMANY</t>
  </si>
  <si>
    <t>20221045</t>
  </si>
  <si>
    <t>PAVINDRAN A/L ARUNACHALAM</t>
  </si>
  <si>
    <t>20221046</t>
  </si>
  <si>
    <t>RUSHINA BINTI BAHARDIN</t>
  </si>
  <si>
    <t>20221047</t>
  </si>
  <si>
    <t>SARANRAJ KRISHNAN</t>
  </si>
  <si>
    <t>20221048</t>
  </si>
  <si>
    <t>SARAVANA KUMAR RAMASAMI</t>
  </si>
  <si>
    <t>20221049</t>
  </si>
  <si>
    <t>SIVANESHAN SELVAM</t>
  </si>
  <si>
    <t>20221050</t>
  </si>
  <si>
    <t>XU SIQI</t>
  </si>
  <si>
    <t>20221055</t>
  </si>
  <si>
    <t>LENNON MARK NATHAN</t>
  </si>
  <si>
    <t>20221056</t>
  </si>
  <si>
    <t>LI DING</t>
  </si>
  <si>
    <t>20221058</t>
  </si>
  <si>
    <t>MD FIRDAUS BIN MD NOR</t>
  </si>
  <si>
    <t>20221060</t>
  </si>
  <si>
    <t xml:space="preserve">MUHAMMAD NADZMIE SYAFIQ </t>
  </si>
  <si>
    <t>20221061</t>
  </si>
  <si>
    <t>MUHAMAD SHAFIQ BIN MOHD SHAMSHURI</t>
  </si>
  <si>
    <t>20221062</t>
  </si>
  <si>
    <t>QIU BO</t>
  </si>
  <si>
    <t>20221063</t>
  </si>
  <si>
    <t>SHAO GUOLIANG</t>
  </si>
  <si>
    <t>20221064</t>
  </si>
  <si>
    <t>SONG CHAOYONG</t>
  </si>
  <si>
    <t>20221065</t>
  </si>
  <si>
    <t>SONG DOUDOU</t>
  </si>
  <si>
    <t>20221067</t>
  </si>
  <si>
    <t>VIMAL RAJ JERALD</t>
  </si>
  <si>
    <t>20221068</t>
  </si>
  <si>
    <t>WANG LI</t>
  </si>
  <si>
    <t>20221069</t>
  </si>
  <si>
    <t>WEI LIFENG</t>
  </si>
  <si>
    <t>20221071</t>
  </si>
  <si>
    <t>XUE CHEN</t>
  </si>
  <si>
    <t>20221073</t>
  </si>
  <si>
    <t>MEOR MUHAMAD SYAHIR BIN MEOR MOHD NAZIR</t>
  </si>
  <si>
    <t>20221074</t>
  </si>
  <si>
    <t>MUHAMMAD AMIRUL FAIZ BIN AHMAD MUJIB</t>
  </si>
  <si>
    <t>20221075</t>
  </si>
  <si>
    <t>PARAAMESWARI MAHENDRAN</t>
  </si>
  <si>
    <t>20221030</t>
  </si>
  <si>
    <t>NURUL SYAFIKA BINTI NASIR</t>
  </si>
  <si>
    <t>S20130028</t>
  </si>
  <si>
    <t>WANG HAITAO</t>
  </si>
  <si>
    <t>KONG WENG CHEONG</t>
  </si>
  <si>
    <t>S20140029</t>
  </si>
  <si>
    <t>LI XIANGJUN</t>
  </si>
  <si>
    <t>S20140031</t>
  </si>
  <si>
    <t>LI YANAN</t>
  </si>
  <si>
    <t>S20150043</t>
  </si>
  <si>
    <t>WANG YONG</t>
  </si>
  <si>
    <t>S20170053</t>
  </si>
  <si>
    <t>JIANG YUNDONG</t>
  </si>
  <si>
    <t>S20190059</t>
  </si>
  <si>
    <t>CHEN CHUANHU</t>
  </si>
  <si>
    <t>S20190061</t>
  </si>
  <si>
    <t>YANG WENLONG</t>
  </si>
  <si>
    <t>S20210064</t>
  </si>
  <si>
    <t>XU LILU</t>
  </si>
  <si>
    <t>20149731</t>
  </si>
  <si>
    <t>LEE WEI JIAN, ADRIAN</t>
  </si>
  <si>
    <t>LEE CHUN YONG JOLVIN</t>
  </si>
  <si>
    <t>20108532</t>
  </si>
  <si>
    <t>KEH HIAN HOCK</t>
  </si>
  <si>
    <t>LEE WEI PIN, BRYAN</t>
  </si>
  <si>
    <t>20129290</t>
  </si>
  <si>
    <t>KHOR SEOW LING</t>
  </si>
  <si>
    <t>20129380</t>
  </si>
  <si>
    <t>TAN HUI YIEN</t>
  </si>
  <si>
    <t>20139651</t>
  </si>
  <si>
    <t>LAI SAU WAN</t>
  </si>
  <si>
    <t>20150034</t>
  </si>
  <si>
    <t>BOON KAI MING</t>
  </si>
  <si>
    <t>20170319</t>
  </si>
  <si>
    <t>YAP JUN SEEN</t>
  </si>
  <si>
    <t>20180413</t>
  </si>
  <si>
    <t>LIU WEIDONG</t>
  </si>
  <si>
    <t>20190504</t>
  </si>
  <si>
    <t>LI XUDONG</t>
  </si>
  <si>
    <t>20190563</t>
  </si>
  <si>
    <t>ZHAO SHAN</t>
  </si>
  <si>
    <t>20190587</t>
  </si>
  <si>
    <t>YANG JIE</t>
  </si>
  <si>
    <t>20190588</t>
  </si>
  <si>
    <t>YUE HONGWEI</t>
  </si>
  <si>
    <t>20190596</t>
  </si>
  <si>
    <t>WANG DEYUE</t>
  </si>
  <si>
    <t>20190603</t>
  </si>
  <si>
    <t>HUANG HUIRAN</t>
  </si>
  <si>
    <t>20190611</t>
  </si>
  <si>
    <t>DONG MAN</t>
  </si>
  <si>
    <t>20200631</t>
  </si>
  <si>
    <t>LOO KEAN WOOI</t>
  </si>
  <si>
    <t>20200697</t>
  </si>
  <si>
    <t>MOHAMAD YUNUS BIN ISMAIL</t>
  </si>
  <si>
    <t>20210744</t>
  </si>
  <si>
    <t>ZHONG PENG</t>
  </si>
  <si>
    <t>20210788</t>
  </si>
  <si>
    <t>ZHANG QIAN</t>
  </si>
  <si>
    <t>20210799</t>
  </si>
  <si>
    <t>RAVIVARMAN A/L BALAN</t>
  </si>
  <si>
    <t>20210838</t>
  </si>
  <si>
    <t>LIU YEKUN</t>
  </si>
  <si>
    <t>20210850</t>
  </si>
  <si>
    <t>QI YUEWEN</t>
  </si>
  <si>
    <t>20210861</t>
  </si>
  <si>
    <t>YANG ZIQING</t>
  </si>
  <si>
    <t>20210863</t>
  </si>
  <si>
    <t>FU HONGBO</t>
  </si>
  <si>
    <t>20210926</t>
  </si>
  <si>
    <t>MUHAMMAD SHAFIQ BIN MOHD ZULKARNAIN</t>
  </si>
  <si>
    <t>20220951</t>
  </si>
  <si>
    <t>GUO TIANLONG</t>
  </si>
  <si>
    <t>20108461</t>
  </si>
  <si>
    <t>MOHAMED SUFIAN BIN JA'AFAR SIDDIQUE</t>
  </si>
  <si>
    <t>20119172</t>
  </si>
  <si>
    <t>TANG ENG NIAN</t>
  </si>
  <si>
    <t>20139483</t>
  </si>
  <si>
    <t>LOW VEN CHEE</t>
  </si>
  <si>
    <t>20139572</t>
  </si>
  <si>
    <t>WONG TIAN YOU</t>
  </si>
  <si>
    <t>20190483</t>
  </si>
  <si>
    <t>TAN CHEN WEI</t>
  </si>
  <si>
    <t>20108773</t>
  </si>
  <si>
    <t>ONG CHEA YUAN</t>
  </si>
  <si>
    <t>00973139</t>
  </si>
  <si>
    <t>LEE FOOK SAN</t>
  </si>
  <si>
    <t>LIM AH CHYE</t>
  </si>
  <si>
    <t>00973277</t>
  </si>
  <si>
    <t>LOH ENG CHEOK</t>
  </si>
  <si>
    <t>00973349</t>
  </si>
  <si>
    <t>YONG WEI YNG</t>
  </si>
  <si>
    <t>00993609</t>
  </si>
  <si>
    <t>HAR MENG FAI</t>
  </si>
  <si>
    <t>20034371</t>
  </si>
  <si>
    <t>ZAMRI BIN SAMSUDIN</t>
  </si>
  <si>
    <t>20034380</t>
  </si>
  <si>
    <t>CHUA GUAN CHUAN</t>
  </si>
  <si>
    <t>20067561</t>
  </si>
  <si>
    <t>MOHAMED NASIR BIN AHMAD</t>
  </si>
  <si>
    <t>20108573</t>
  </si>
  <si>
    <t>LOH CHUAN TECK</t>
  </si>
  <si>
    <t>20119003</t>
  </si>
  <si>
    <t>CHONG KIM SIONG</t>
  </si>
  <si>
    <t>20210847</t>
  </si>
  <si>
    <t>CHAN TIAM SIEW</t>
  </si>
  <si>
    <t>20210897</t>
  </si>
  <si>
    <t>EZREEN ZAFFRAN BIN KAMAL ARIFF</t>
  </si>
  <si>
    <t>20210904</t>
  </si>
  <si>
    <t>IKMAL HADI BIN IDRUS</t>
  </si>
  <si>
    <t>20210905</t>
  </si>
  <si>
    <t>AHMAD MUJAHID BIN ABD WAHAB</t>
  </si>
  <si>
    <t>20220954</t>
  </si>
  <si>
    <t>JAFFER ALI SEYED ABDUL KHADER JAILANE</t>
  </si>
  <si>
    <t>20220963</t>
  </si>
  <si>
    <t>ILYAS BIN AZMAN</t>
  </si>
  <si>
    <t>20221024</t>
  </si>
  <si>
    <t>MUHAMAD SYAFIQ BIN S MAHADI</t>
  </si>
  <si>
    <t>20221053</t>
  </si>
  <si>
    <t>FAEZ NAZMI BIN ABDUL RAHMAN</t>
  </si>
  <si>
    <t>20221059</t>
  </si>
  <si>
    <t>MUHAMMAD AIMAN SYAHID BIN MAZNURI</t>
  </si>
  <si>
    <t>00973244</t>
  </si>
  <si>
    <t>TAN BEE LAN</t>
  </si>
  <si>
    <t>LIM CHENG CHUAN DEREK</t>
  </si>
  <si>
    <t>00983531</t>
  </si>
  <si>
    <t>WONG SIEW LAN</t>
  </si>
  <si>
    <t>LIM CHOON HUAT</t>
  </si>
  <si>
    <t>20034094</t>
  </si>
  <si>
    <t>LO JEE FUK KELVIN</t>
  </si>
  <si>
    <t>20034139</t>
  </si>
  <si>
    <t>NYOK YEONG FUN</t>
  </si>
  <si>
    <t>20034185</t>
  </si>
  <si>
    <t>FONG MEI LAN</t>
  </si>
  <si>
    <t>20044548</t>
  </si>
  <si>
    <t>TAN SWEE LUAN</t>
  </si>
  <si>
    <t>20044566</t>
  </si>
  <si>
    <t>SHEE CHOON HONG</t>
  </si>
  <si>
    <t>20077639</t>
  </si>
  <si>
    <t>LIN HONG</t>
  </si>
  <si>
    <t>20077645</t>
  </si>
  <si>
    <t>ANTHONY YUN CHUNG EI</t>
  </si>
  <si>
    <t>20108719</t>
  </si>
  <si>
    <t>NICHOLAS WI CHWEE KWAN</t>
  </si>
  <si>
    <t>20118989</t>
  </si>
  <si>
    <t>MOO KOK HOONG</t>
  </si>
  <si>
    <t>20119106</t>
  </si>
  <si>
    <t>LEW SHEAU SHAN</t>
  </si>
  <si>
    <t>20129352</t>
  </si>
  <si>
    <t>CHEN LU KHIAN</t>
  </si>
  <si>
    <t>20150094</t>
  </si>
  <si>
    <t>LEONG SONG PHANG</t>
  </si>
  <si>
    <t>20159950</t>
  </si>
  <si>
    <t>KOK POH KUN</t>
  </si>
  <si>
    <t>20180428</t>
  </si>
  <si>
    <t>LIU SHUO</t>
  </si>
  <si>
    <t>20190547</t>
  </si>
  <si>
    <t>CHEN SHAOXU</t>
  </si>
  <si>
    <t>20200681</t>
  </si>
  <si>
    <t>SONG YUANYUAN</t>
  </si>
  <si>
    <t>20200690</t>
  </si>
  <si>
    <t>WANG LIYAN</t>
  </si>
  <si>
    <t>20210719</t>
  </si>
  <si>
    <t>YANG SHIMAO</t>
  </si>
  <si>
    <t>20210816</t>
  </si>
  <si>
    <t>HO KING UNG</t>
  </si>
  <si>
    <t>20210873</t>
  </si>
  <si>
    <t>HONG PUI YEE</t>
  </si>
  <si>
    <t>20210878</t>
  </si>
  <si>
    <t>LI SHAOZHEN</t>
  </si>
  <si>
    <t>20210880</t>
  </si>
  <si>
    <t>WANG YONGCAI</t>
  </si>
  <si>
    <t>20210938</t>
  </si>
  <si>
    <t>LIU YANCHAO</t>
  </si>
  <si>
    <t>20210940</t>
  </si>
  <si>
    <t>YANG GUILAN</t>
  </si>
  <si>
    <t>20220949</t>
  </si>
  <si>
    <t>MA XIN</t>
  </si>
  <si>
    <t>20220984</t>
  </si>
  <si>
    <t>MUHAMMAD ARIEF HAIKAL BIN HAMIDI</t>
  </si>
  <si>
    <t>20003820</t>
  </si>
  <si>
    <t>OOI YAM BOON</t>
  </si>
  <si>
    <t>20067345</t>
  </si>
  <si>
    <t>TAN ZHI GUANG</t>
  </si>
  <si>
    <t>20108721</t>
  </si>
  <si>
    <t>OOI LI HUI</t>
  </si>
  <si>
    <t>20108772</t>
  </si>
  <si>
    <t>LAI YEE BIN</t>
  </si>
  <si>
    <t>20190552</t>
  </si>
  <si>
    <t>MENG XUAN</t>
  </si>
  <si>
    <t>00973246</t>
  </si>
  <si>
    <t>LIM HAI CHUAN</t>
  </si>
  <si>
    <t>LIM ENG GUAN</t>
  </si>
  <si>
    <t>00973302</t>
  </si>
  <si>
    <t>GOH MOI MOI</t>
  </si>
  <si>
    <t>00993622</t>
  </si>
  <si>
    <t>LIAU HUI BUWE</t>
  </si>
  <si>
    <t>20001801</t>
  </si>
  <si>
    <t>CHOW MEI LING</t>
  </si>
  <si>
    <t>20001831</t>
  </si>
  <si>
    <t>LIM LEE POI</t>
  </si>
  <si>
    <t>20044565</t>
  </si>
  <si>
    <t>NG KWEE LIAN</t>
  </si>
  <si>
    <t>20044575</t>
  </si>
  <si>
    <t>CHIA TSUI PING</t>
  </si>
  <si>
    <t>20054776</t>
  </si>
  <si>
    <t>YAP YAW KHIUN</t>
  </si>
  <si>
    <t>20057059</t>
  </si>
  <si>
    <t>TANG SIEW FONG</t>
  </si>
  <si>
    <t>20067151</t>
  </si>
  <si>
    <t>YONG CHOI FONG</t>
  </si>
  <si>
    <t>20067517</t>
  </si>
  <si>
    <t>ALIDAH BTE ABDUL RASHID</t>
  </si>
  <si>
    <t>20077665</t>
  </si>
  <si>
    <t>SOO YEE LONG</t>
  </si>
  <si>
    <t>20119032</t>
  </si>
  <si>
    <t>TEOH SENG GIAP</t>
  </si>
  <si>
    <t>20119116</t>
  </si>
  <si>
    <t>LAI LING ING</t>
  </si>
  <si>
    <t>20129310</t>
  </si>
  <si>
    <t>YIP WING WAI</t>
  </si>
  <si>
    <t>20129367</t>
  </si>
  <si>
    <t>LEE LI MEI</t>
  </si>
  <si>
    <t>20129405</t>
  </si>
  <si>
    <t>SAVATHRY A/P KANNAN</t>
  </si>
  <si>
    <t>20180393</t>
  </si>
  <si>
    <t>WU GAOLI</t>
  </si>
  <si>
    <t>20190549</t>
  </si>
  <si>
    <t>HUANG MENGJIE</t>
  </si>
  <si>
    <t>20190567</t>
  </si>
  <si>
    <t>CHE HUIMIN</t>
  </si>
  <si>
    <t>20190615</t>
  </si>
  <si>
    <t>ZHANG MING</t>
  </si>
  <si>
    <t>20200639</t>
  </si>
  <si>
    <t>ANDREA NATALIE BONG</t>
  </si>
  <si>
    <t>20200659</t>
  </si>
  <si>
    <t>TAN SEOW NGOH</t>
  </si>
  <si>
    <t>20200694</t>
  </si>
  <si>
    <t>WU YUAN</t>
  </si>
  <si>
    <t>20210717</t>
  </si>
  <si>
    <t>WENG WENZHI</t>
  </si>
  <si>
    <t>20210790</t>
  </si>
  <si>
    <t>FOO MING FEI</t>
  </si>
  <si>
    <t>20210795</t>
  </si>
  <si>
    <t>WANG CE</t>
  </si>
  <si>
    <t>20210809</t>
  </si>
  <si>
    <t>YANG YIMING</t>
  </si>
  <si>
    <t>20210817</t>
  </si>
  <si>
    <t>CHEAN MING SHENG</t>
  </si>
  <si>
    <t>20210853</t>
  </si>
  <si>
    <t>WANG JIAMEI</t>
  </si>
  <si>
    <t>20210854</t>
  </si>
  <si>
    <t>DING WENQUAN</t>
  </si>
  <si>
    <t>20210896</t>
  </si>
  <si>
    <t>SANCHEEV VATHUMALAI</t>
  </si>
  <si>
    <t>20220974</t>
  </si>
  <si>
    <t>AHMAD FARIZ HAKIM BIN ROSMADI</t>
  </si>
  <si>
    <t>20170368</t>
  </si>
  <si>
    <t>KOH CHONG HAI</t>
  </si>
  <si>
    <t>LIM KOK SHENG</t>
  </si>
  <si>
    <t>00963051</t>
  </si>
  <si>
    <t>LOW AH HENG</t>
  </si>
  <si>
    <t>LIM TENG LOCK</t>
  </si>
  <si>
    <t>00983449</t>
  </si>
  <si>
    <t>LIM JUI KIANG</t>
  </si>
  <si>
    <t>20001800</t>
  </si>
  <si>
    <t>ONG LEI HONG</t>
  </si>
  <si>
    <t>20034109</t>
  </si>
  <si>
    <t>FOO KAM YOKE</t>
  </si>
  <si>
    <t>20034138</t>
  </si>
  <si>
    <t>LEE KWEE CHING</t>
  </si>
  <si>
    <t>20057066</t>
  </si>
  <si>
    <t>TAN JOCK HUA</t>
  </si>
  <si>
    <t>20077633</t>
  </si>
  <si>
    <t>CHOOI CHEN LEONG</t>
  </si>
  <si>
    <t>20087951</t>
  </si>
  <si>
    <t>AW KOK AIK</t>
  </si>
  <si>
    <t>20108463</t>
  </si>
  <si>
    <t>ZHANG PENGYUN</t>
  </si>
  <si>
    <t>20129227</t>
  </si>
  <si>
    <t>TAN CHEW PENG</t>
  </si>
  <si>
    <t>20129309</t>
  </si>
  <si>
    <t>ANG KHEN YANG</t>
  </si>
  <si>
    <t>20129313</t>
  </si>
  <si>
    <t>YEOW HONG TECK</t>
  </si>
  <si>
    <t>20129462</t>
  </si>
  <si>
    <t>CHOO HOOI FIRM</t>
  </si>
  <si>
    <t>20139604</t>
  </si>
  <si>
    <t>CHIN SING YEE</t>
  </si>
  <si>
    <t>20160221</t>
  </si>
  <si>
    <t>NG SUEN HWO</t>
  </si>
  <si>
    <t>20190544</t>
  </si>
  <si>
    <t>NGU BING HOCK</t>
  </si>
  <si>
    <t>20190559</t>
  </si>
  <si>
    <t>LIU XIULI</t>
  </si>
  <si>
    <t>20190598</t>
  </si>
  <si>
    <t>ZHANG JING</t>
  </si>
  <si>
    <t>20190614</t>
  </si>
  <si>
    <t>SUN HAIJUN</t>
  </si>
  <si>
    <t>20200684</t>
  </si>
  <si>
    <t>ZHOU YANGZHU</t>
  </si>
  <si>
    <t>20210710</t>
  </si>
  <si>
    <t>ZHANG WENJING</t>
  </si>
  <si>
    <t>20210715</t>
  </si>
  <si>
    <t>SUN FENGSHEN</t>
  </si>
  <si>
    <t>20210716</t>
  </si>
  <si>
    <t>WANG HUI</t>
  </si>
  <si>
    <t>20210728</t>
  </si>
  <si>
    <t>GONG MING</t>
  </si>
  <si>
    <t>20210800</t>
  </si>
  <si>
    <t>TAN LOO INN</t>
  </si>
  <si>
    <t>20210833</t>
  </si>
  <si>
    <t>CONG XIAOQIANG</t>
  </si>
  <si>
    <t>20210851</t>
  </si>
  <si>
    <t>YU XIAOJIE</t>
  </si>
  <si>
    <t>20210902</t>
  </si>
  <si>
    <t>NHARESSH RAO KANAPATHI RAO</t>
  </si>
  <si>
    <t>20210919</t>
  </si>
  <si>
    <t>VANAJAH RAMESH</t>
  </si>
  <si>
    <t>20210934</t>
  </si>
  <si>
    <t>MUHAMMAD SHAHIMI BIN DZULKAFLE</t>
  </si>
  <si>
    <t>20210939</t>
  </si>
  <si>
    <t>SUN YUHUA</t>
  </si>
  <si>
    <t>20220943</t>
  </si>
  <si>
    <t>JIANG HUI</t>
  </si>
  <si>
    <t>20220960</t>
  </si>
  <si>
    <t>HONG LIANG</t>
  </si>
  <si>
    <t>20220967</t>
  </si>
  <si>
    <t>NUR ALIF IKHRAM BIN ABDUL TALIB</t>
  </si>
  <si>
    <t>20221020</t>
  </si>
  <si>
    <t>ZHANG YANQING</t>
  </si>
  <si>
    <t>20034110</t>
  </si>
  <si>
    <t>GOH CHOOI LUAN</t>
  </si>
  <si>
    <t>20034146</t>
  </si>
  <si>
    <t>LOOI WAN KEAN</t>
  </si>
  <si>
    <t>LOH CHEE CHUAN</t>
  </si>
  <si>
    <t>20044590</t>
  </si>
  <si>
    <t>S ROSNAHNI BTE TUGIRAN</t>
  </si>
  <si>
    <t>20044591</t>
  </si>
  <si>
    <t>SALIZAH BTE NANWI</t>
  </si>
  <si>
    <t>20108776</t>
  </si>
  <si>
    <t>YAP WE SENG</t>
  </si>
  <si>
    <t>20118907</t>
  </si>
  <si>
    <t>LEE NYOK YIN</t>
  </si>
  <si>
    <t>20119031</t>
  </si>
  <si>
    <t>YONG KEAN KIT</t>
  </si>
  <si>
    <t>20129430</t>
  </si>
  <si>
    <t>LEE WEI KUEN</t>
  </si>
  <si>
    <t>20139640</t>
  </si>
  <si>
    <t>CHOH LI TIEN</t>
  </si>
  <si>
    <t>20149886</t>
  </si>
  <si>
    <t>CHONG SOON HONG</t>
  </si>
  <si>
    <t>20170295</t>
  </si>
  <si>
    <t>XU FEIFEI</t>
  </si>
  <si>
    <t>20190514</t>
  </si>
  <si>
    <t>LI HONGPENG</t>
  </si>
  <si>
    <t>20190548</t>
  </si>
  <si>
    <t>HUANG LEI</t>
  </si>
  <si>
    <t>20210720</t>
  </si>
  <si>
    <t>YU JUNXIANG</t>
  </si>
  <si>
    <t>20210730</t>
  </si>
  <si>
    <t>ZHANG JUNZHAO</t>
  </si>
  <si>
    <t>20210769</t>
  </si>
  <si>
    <t>JIA XINYANG</t>
  </si>
  <si>
    <t>20210791</t>
  </si>
  <si>
    <t>KEVIN NAH CHOON WEI</t>
  </si>
  <si>
    <t>20210808</t>
  </si>
  <si>
    <t>NOR AZLINA BINTI ISMAIL</t>
  </si>
  <si>
    <t>20210814</t>
  </si>
  <si>
    <t>CHAN MEE YIN</t>
  </si>
  <si>
    <t>20210836</t>
  </si>
  <si>
    <t>HOU QINGYUAN</t>
  </si>
  <si>
    <t>20210839</t>
  </si>
  <si>
    <t>MENG GUANGLI</t>
  </si>
  <si>
    <t>20210860</t>
  </si>
  <si>
    <t>GAI LIANGKAI</t>
  </si>
  <si>
    <t>20210862</t>
  </si>
  <si>
    <t>ZHAO YANG</t>
  </si>
  <si>
    <t>20210890</t>
  </si>
  <si>
    <t>LIU MIN</t>
  </si>
  <si>
    <t>20210925</t>
  </si>
  <si>
    <t>MUHAMMAD AZREEN BIN RAHIM</t>
  </si>
  <si>
    <t>20210937</t>
  </si>
  <si>
    <t>JIA TONGTONG</t>
  </si>
  <si>
    <t>20220965</t>
  </si>
  <si>
    <t>RADEN NORAMEERUL FAHMI</t>
  </si>
  <si>
    <t>20221017</t>
  </si>
  <si>
    <t>LIU YANG</t>
  </si>
  <si>
    <t>20013872</t>
  </si>
  <si>
    <t>CUI TING JIE</t>
  </si>
  <si>
    <t>LOW HAN LIM ELVIN</t>
  </si>
  <si>
    <t>20034225</t>
  </si>
  <si>
    <t>CHONG YEW CHION</t>
  </si>
  <si>
    <t>20118935</t>
  </si>
  <si>
    <t>SHAW SIONG LUNG</t>
  </si>
  <si>
    <t>20118968</t>
  </si>
  <si>
    <t>LIM SWEE CHONG</t>
  </si>
  <si>
    <t>20129240</t>
  </si>
  <si>
    <t>HO CHEE SOON</t>
  </si>
  <si>
    <t>20150036</t>
  </si>
  <si>
    <t>TAN KAH WEI, EFEN</t>
  </si>
  <si>
    <t>00991617</t>
  </si>
  <si>
    <t>FU YONG HUA</t>
  </si>
  <si>
    <t>LOW KOK HENG</t>
  </si>
  <si>
    <t>20034085</t>
  </si>
  <si>
    <t>OOI KIM POH VINCENT</t>
  </si>
  <si>
    <t>20034424</t>
  </si>
  <si>
    <t>LOH CHEE SIANG</t>
  </si>
  <si>
    <t>20044540</t>
  </si>
  <si>
    <t>LAI SIEW HOON</t>
  </si>
  <si>
    <t>20044615</t>
  </si>
  <si>
    <t>LI XIU YING</t>
  </si>
  <si>
    <t>20077589</t>
  </si>
  <si>
    <t>CHONG SIN HUA</t>
  </si>
  <si>
    <t>20108578</t>
  </si>
  <si>
    <t>GOEY KEAN AIK</t>
  </si>
  <si>
    <t>20118804</t>
  </si>
  <si>
    <t>LEE LI LI</t>
  </si>
  <si>
    <t>20119105</t>
  </si>
  <si>
    <t>LIM MEI CHAN</t>
  </si>
  <si>
    <t>20119176</t>
  </si>
  <si>
    <t>ANG KHER SIN</t>
  </si>
  <si>
    <t>20129442</t>
  </si>
  <si>
    <t>LEUW CHONG GET</t>
  </si>
  <si>
    <t>20139567</t>
  </si>
  <si>
    <t>BEH KIM HOCK</t>
  </si>
  <si>
    <t>20139588</t>
  </si>
  <si>
    <t>LIM NEE EING</t>
  </si>
  <si>
    <t>20149853</t>
  </si>
  <si>
    <t>LOH MEE WON</t>
  </si>
  <si>
    <t>20180388</t>
  </si>
  <si>
    <t>GAN PENG CHUN</t>
  </si>
  <si>
    <t>20180427</t>
  </si>
  <si>
    <t>LI TONGTONG</t>
  </si>
  <si>
    <t>20190553</t>
  </si>
  <si>
    <t>WANG KUN</t>
  </si>
  <si>
    <t>20190555</t>
  </si>
  <si>
    <t>ZHANG YILI</t>
  </si>
  <si>
    <t>20210822</t>
  </si>
  <si>
    <t>CHUA CHAI LIAN</t>
  </si>
  <si>
    <t>20210835</t>
  </si>
  <si>
    <t>GAO JIAO</t>
  </si>
  <si>
    <t>20210879</t>
  </si>
  <si>
    <t>YIN JIAN</t>
  </si>
  <si>
    <t>20210882</t>
  </si>
  <si>
    <t>QIN XINGHUAN</t>
  </si>
  <si>
    <t>20220947</t>
  </si>
  <si>
    <t>LU SIXING</t>
  </si>
  <si>
    <t>20220953</t>
  </si>
  <si>
    <t>LU LEI</t>
  </si>
  <si>
    <t>20220968</t>
  </si>
  <si>
    <t>MOHAMAD FIRDAUS BIN MOHD NASIR</t>
  </si>
  <si>
    <t>20220989</t>
  </si>
  <si>
    <t>AZHAR BIN ALIAS</t>
  </si>
  <si>
    <t>20220991</t>
  </si>
  <si>
    <t>VIKNESH S BALACHANDRAN</t>
  </si>
  <si>
    <t>20221018</t>
  </si>
  <si>
    <t>LIU ZILIN</t>
  </si>
  <si>
    <t>20023985</t>
  </si>
  <si>
    <t>CHOW CHEE KEONG</t>
  </si>
  <si>
    <t>20077730</t>
  </si>
  <si>
    <t>KHOO CHOONG NAM</t>
  </si>
  <si>
    <t>20119103</t>
  </si>
  <si>
    <t>NELSON A/L FRANCIS</t>
  </si>
  <si>
    <t>20149882</t>
  </si>
  <si>
    <t>BONG YEE CHUN</t>
  </si>
  <si>
    <t>20180463</t>
  </si>
  <si>
    <t>FENG YICHENG</t>
  </si>
  <si>
    <t>20001733</t>
  </si>
  <si>
    <t>CHEU CHENG TIAN</t>
  </si>
  <si>
    <t>PHEY CHONG PAU</t>
  </si>
  <si>
    <t>20034075</t>
  </si>
  <si>
    <t>BONG YEU HONG</t>
  </si>
  <si>
    <t>20088094</t>
  </si>
  <si>
    <t>SABARUDIN BIN MOHAMED SALLEH</t>
  </si>
  <si>
    <t>20119086</t>
  </si>
  <si>
    <t>CHIONG YEW LUK</t>
  </si>
  <si>
    <t>20139549</t>
  </si>
  <si>
    <t>KIAT CHIN LONG</t>
  </si>
  <si>
    <t>20150006</t>
  </si>
  <si>
    <t>HOO ENG CHAI</t>
  </si>
  <si>
    <t>20170267</t>
  </si>
  <si>
    <t>ABDUL RAUF BIN SULAIMAN</t>
  </si>
  <si>
    <t>20180422</t>
  </si>
  <si>
    <t>KHOO MING KEAT</t>
  </si>
  <si>
    <t>20190543</t>
  </si>
  <si>
    <t>MUHAMMAD ASYREE BIN HISHAMUDIN</t>
  </si>
  <si>
    <t>20190546</t>
  </si>
  <si>
    <t>TAN PEE TER</t>
  </si>
  <si>
    <t>20200648</t>
  </si>
  <si>
    <t>HOO ENG LEE</t>
  </si>
  <si>
    <t>20200702</t>
  </si>
  <si>
    <t>WONG KOK KIAN</t>
  </si>
  <si>
    <t>20210803</t>
  </si>
  <si>
    <t>KUNG HWA GUAN</t>
  </si>
  <si>
    <t>20210892</t>
  </si>
  <si>
    <t>PREMKUMAR SUBRAMANIAM</t>
  </si>
  <si>
    <t>20210895</t>
  </si>
  <si>
    <t>WAN KAH CHUN</t>
  </si>
  <si>
    <t>00973222</t>
  </si>
  <si>
    <t>LAU PEK TEIN</t>
  </si>
  <si>
    <t>TAN KIOK HUA</t>
  </si>
  <si>
    <t>20057074</t>
  </si>
  <si>
    <t>AMUTHAVALLI D/O RAJOOLINGAM</t>
  </si>
  <si>
    <t>20108577</t>
  </si>
  <si>
    <t>FOO SIONG SENG</t>
  </si>
  <si>
    <t>20108621</t>
  </si>
  <si>
    <t>CHEN MUN CHEUN</t>
  </si>
  <si>
    <t>20108643</t>
  </si>
  <si>
    <t>TER CHEE PIN</t>
  </si>
  <si>
    <t>20118958</t>
  </si>
  <si>
    <t>CHONG NGET KHUEN</t>
  </si>
  <si>
    <t>20119157</t>
  </si>
  <si>
    <t>WOON TIAN-MEN RYAN</t>
  </si>
  <si>
    <t>20139578</t>
  </si>
  <si>
    <t>QU JIALI</t>
  </si>
  <si>
    <t>20149842</t>
  </si>
  <si>
    <t>SUNTHRASENAN A/L THARMALINGAM</t>
  </si>
  <si>
    <t>20180391</t>
  </si>
  <si>
    <t>YIP CHEN SING</t>
  </si>
  <si>
    <t>20190488</t>
  </si>
  <si>
    <t>ENG SHI LE</t>
  </si>
  <si>
    <t>20190503</t>
  </si>
  <si>
    <t>ZHANG JINZHU</t>
  </si>
  <si>
    <t>20190516</t>
  </si>
  <si>
    <t>ZHANG QIONG</t>
  </si>
  <si>
    <t>20190579</t>
  </si>
  <si>
    <t>GAO JIANGYUAN</t>
  </si>
  <si>
    <t>20190586</t>
  </si>
  <si>
    <t>WANG KUNPENG</t>
  </si>
  <si>
    <t>20190604</t>
  </si>
  <si>
    <t>LI PENG</t>
  </si>
  <si>
    <t>20200686</t>
  </si>
  <si>
    <t>BAI YU</t>
  </si>
  <si>
    <t>20200692</t>
  </si>
  <si>
    <t>WANG PAN</t>
  </si>
  <si>
    <t>20210708</t>
  </si>
  <si>
    <t>LIU SHUYU</t>
  </si>
  <si>
    <t>20210868</t>
  </si>
  <si>
    <t>RINOSH MARIAPPAN</t>
  </si>
  <si>
    <t>20210869</t>
  </si>
  <si>
    <t>MOHAMAD IRFAN BIN MUSA</t>
  </si>
  <si>
    <t>20210907</t>
  </si>
  <si>
    <t>LI XIANGYU</t>
  </si>
  <si>
    <t>20210916</t>
  </si>
  <si>
    <t>MOHAMAD HAIRY SHAZWAN BIN MOHD HALIM</t>
  </si>
  <si>
    <t>20220961</t>
  </si>
  <si>
    <t>LIAO YU</t>
  </si>
  <si>
    <t>20108420</t>
  </si>
  <si>
    <t>SOON WEI JIE</t>
  </si>
  <si>
    <t>20118892</t>
  </si>
  <si>
    <t>DINESHKKUMAR A/L RADHAKRISHNAN</t>
  </si>
  <si>
    <t>20170302</t>
  </si>
  <si>
    <t>ZHOU XIUQIN</t>
  </si>
  <si>
    <t>20077755</t>
  </si>
  <si>
    <t>KANG THIAN WI</t>
  </si>
  <si>
    <t>20150077</t>
  </si>
  <si>
    <t>NG YI KAI</t>
  </si>
  <si>
    <t>20003803</t>
  </si>
  <si>
    <t>RUMINI BTE OTHMAN</t>
  </si>
  <si>
    <t>TAN YONG LIAN</t>
  </si>
  <si>
    <t>00973219</t>
  </si>
  <si>
    <t>TAN EAM SIN</t>
  </si>
  <si>
    <t>TIANG TONG BING</t>
  </si>
  <si>
    <t>00983498</t>
  </si>
  <si>
    <t>ANG YIAN LAN</t>
  </si>
  <si>
    <t>20001811</t>
  </si>
  <si>
    <t>LEONG HUNG NGEE</t>
  </si>
  <si>
    <t>20005174</t>
  </si>
  <si>
    <t>KOH CHEO ENG</t>
  </si>
  <si>
    <t>20067196</t>
  </si>
  <si>
    <t>ZHOU XIUMING</t>
  </si>
  <si>
    <t>20129338</t>
  </si>
  <si>
    <t>LAU POH ENG</t>
  </si>
  <si>
    <t>20129363</t>
  </si>
  <si>
    <t>THAM SING YIK</t>
  </si>
  <si>
    <t>20129407</t>
  </si>
  <si>
    <t>LUA KEAN GUAN</t>
  </si>
  <si>
    <t>20159974</t>
  </si>
  <si>
    <t>CI JIANFENG</t>
  </si>
  <si>
    <t>20159997</t>
  </si>
  <si>
    <t>SUN JING</t>
  </si>
  <si>
    <t>20180418</t>
  </si>
  <si>
    <t>REN GUANGSHENG</t>
  </si>
  <si>
    <t>20190498</t>
  </si>
  <si>
    <t>WU MEIHONG</t>
  </si>
  <si>
    <t>20190590</t>
  </si>
  <si>
    <t>ZHANG WENLONG</t>
  </si>
  <si>
    <t>20190591</t>
  </si>
  <si>
    <t>ZHANG ZONGHAO</t>
  </si>
  <si>
    <t>20190608</t>
  </si>
  <si>
    <t>WANG YOUXU</t>
  </si>
  <si>
    <t>20200691</t>
  </si>
  <si>
    <t>WANG MINGYONG</t>
  </si>
  <si>
    <t>20210707</t>
  </si>
  <si>
    <t>LI MAN</t>
  </si>
  <si>
    <t>20210750</t>
  </si>
  <si>
    <t>MUHAMMAD AIDIL BIN ABDUL ROHIM</t>
  </si>
  <si>
    <t>20210787</t>
  </si>
  <si>
    <t>QIU TONG</t>
  </si>
  <si>
    <t>20210813</t>
  </si>
  <si>
    <t>WAN IZAT ZHAFRAN BIN WAN IBRAHIM</t>
  </si>
  <si>
    <t>20210818</t>
  </si>
  <si>
    <t>NURUL JANNAH BINTI MOHAMED KHALID</t>
  </si>
  <si>
    <t>20210885</t>
  </si>
  <si>
    <t>JIAN QINREN</t>
  </si>
  <si>
    <t>20150065</t>
  </si>
  <si>
    <t>TIONG CHOW YANG</t>
  </si>
  <si>
    <t>20190606</t>
  </si>
  <si>
    <t>LIU YONGQIAN</t>
  </si>
  <si>
    <t>20129330</t>
  </si>
  <si>
    <t>CHIN KOK WEE</t>
  </si>
  <si>
    <t>20149705</t>
  </si>
  <si>
    <t>HAN XIAO</t>
  </si>
  <si>
    <t>20180458</t>
  </si>
  <si>
    <t>CHANG SHAOKE</t>
  </si>
  <si>
    <t>00973137</t>
  </si>
  <si>
    <t>LIM SAW GIM</t>
  </si>
  <si>
    <t>WU YUE</t>
  </si>
  <si>
    <t>20149704</t>
  </si>
  <si>
    <t>20150051</t>
  </si>
  <si>
    <t>CHEAH SIN CHAI, RAYMOND</t>
  </si>
  <si>
    <t>20200637</t>
  </si>
  <si>
    <t>LEE SHENG HUI</t>
  </si>
  <si>
    <t>20067515</t>
  </si>
  <si>
    <t>SONG TEE CHING</t>
  </si>
  <si>
    <t>YEO CHENG CHAI</t>
  </si>
  <si>
    <t>20118808</t>
  </si>
  <si>
    <t>VICTORIA R LIM</t>
  </si>
  <si>
    <t>YONG KIEN CHIEN</t>
  </si>
  <si>
    <t>20118809</t>
  </si>
  <si>
    <t>SITI AL'LAUWIYAH BINTE MOHAMED YUSOF</t>
  </si>
  <si>
    <t>20129228</t>
  </si>
  <si>
    <t>SITI HANISAH BINTE SUJALI</t>
  </si>
  <si>
    <t>20139639</t>
  </si>
  <si>
    <t>ANG FUA FUA</t>
  </si>
  <si>
    <t>20149851</t>
  </si>
  <si>
    <t>LEE YEE YUNG</t>
  </si>
  <si>
    <t>20150050</t>
  </si>
  <si>
    <t>CHEN MEE LING</t>
  </si>
  <si>
    <t>20170304</t>
  </si>
  <si>
    <t>MA QINGQING</t>
  </si>
  <si>
    <t>20190486</t>
  </si>
  <si>
    <t>ABDULLAH BIN ABD WAHAB</t>
  </si>
  <si>
    <t>20190550</t>
  </si>
  <si>
    <t>JIANG GUODONG</t>
  </si>
  <si>
    <t>20190602</t>
  </si>
  <si>
    <t>HE YUNYUN</t>
  </si>
  <si>
    <t>20200629</t>
  </si>
  <si>
    <t>JORDAN LO YOU YU</t>
  </si>
  <si>
    <t>20210770</t>
  </si>
  <si>
    <t>LAN ZHUOYE</t>
  </si>
  <si>
    <t>20210801</t>
  </si>
  <si>
    <t>MUHAMMAD SYAKIR BIN AHMAD BAKHARI</t>
  </si>
  <si>
    <t>20210825</t>
  </si>
  <si>
    <t>SHAMINI RAVINTHIRAN</t>
  </si>
  <si>
    <t>20210841</t>
  </si>
  <si>
    <t>SUN MAOFEI</t>
  </si>
  <si>
    <t>20210855</t>
  </si>
  <si>
    <t>HUA XIANLONG</t>
  </si>
  <si>
    <t>20210857</t>
  </si>
  <si>
    <t>OUYANG RONGHUAN</t>
  </si>
  <si>
    <t>20210865</t>
  </si>
  <si>
    <t>PAN XUEJIAO</t>
  </si>
  <si>
    <t>20210874</t>
  </si>
  <si>
    <t>MUHAMMAD RAZALI BIN BAWAKANU</t>
  </si>
  <si>
    <t>20210881</t>
  </si>
  <si>
    <t>LIU ZHENHUA</t>
  </si>
  <si>
    <t>20210891</t>
  </si>
  <si>
    <t>SHEN JIAN</t>
  </si>
  <si>
    <t>20210918</t>
  </si>
  <si>
    <t>MOHD NORAIZAM BIN NORDIN</t>
  </si>
  <si>
    <t>20220976</t>
  </si>
  <si>
    <t>AHMAD MUSLIM BIN ZAINAL ABIDIN</t>
  </si>
  <si>
    <t>20067342</t>
  </si>
  <si>
    <t>LOH WEI CHIANG, NICHOLAS</t>
  </si>
  <si>
    <t>20190497</t>
  </si>
  <si>
    <t>WU 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</si>
</sst>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14809]d\ mmmm\ yyyy;@"/>
    <numFmt numFmtId="165" formatCode="0.0"/>
    <numFmt numFmtId="166" formatCode="dd\-mmm\-yyyy"/>
  </numFmts>
  <fonts count="47" x14ac:knownFonts="1">
    <font>
      <sz val="11"/>
      <color theme="1"/>
      <name val="Calibri"/>
      <family val="2"/>
      <scheme val="minor"/>
    </font>
    <font>
      <sz val="10"/>
      <name val="MS Sans Serif"/>
      <family val="2"/>
    </font>
    <font>
      <b/>
      <sz val="10"/>
      <color rgb="FFCC0099"/>
      <name val="Cambria"/>
      <family val="1"/>
    </font>
    <font>
      <sz val="10"/>
      <color theme="1"/>
      <name val="Cambria"/>
      <family val="1"/>
    </font>
    <font>
      <b/>
      <sz val="10"/>
      <color theme="1"/>
      <name val="Cambria"/>
      <family val="1"/>
    </font>
    <font>
      <b/>
      <sz val="10"/>
      <color rgb="FF0000FF"/>
      <name val="Cambria"/>
      <family val="1"/>
    </font>
    <font>
      <b/>
      <sz val="10"/>
      <color rgb="FFFF0000"/>
      <name val="Cambria"/>
      <family val="1"/>
    </font>
    <font>
      <sz val="11"/>
      <color theme="1"/>
      <name val="Calibri"/>
      <family val="2"/>
      <scheme val="minor"/>
    </font>
    <font>
      <b/>
      <sz val="12"/>
      <color theme="1"/>
      <name val="Cambria"/>
      <family val="1"/>
    </font>
    <font>
      <sz val="11"/>
      <color theme="1"/>
      <name val="Cambria"/>
      <family val="1"/>
    </font>
    <font>
      <b/>
      <u/>
      <sz val="10"/>
      <color theme="1"/>
      <name val="Cambria"/>
      <family val="1"/>
    </font>
    <font>
      <b/>
      <u/>
      <sz val="12"/>
      <color theme="1"/>
      <name val="Cambria"/>
      <family val="1"/>
    </font>
    <font>
      <b/>
      <sz val="14"/>
      <color theme="1"/>
      <name val="Cambria"/>
      <family val="1"/>
    </font>
    <font>
      <sz val="12"/>
      <color theme="1"/>
      <name val="Cambria"/>
      <family val="1"/>
    </font>
    <font>
      <b/>
      <sz val="20"/>
      <color theme="1"/>
      <name val="Cambria"/>
      <family val="1"/>
    </font>
    <font>
      <b/>
      <i/>
      <sz val="10"/>
      <color rgb="FFFF0000"/>
      <name val="Cambria"/>
      <family val="1"/>
    </font>
    <font>
      <sz val="10"/>
      <name val="Cambria"/>
      <family val="1"/>
    </font>
    <font>
      <sz val="11"/>
      <name val="Cambria"/>
      <family val="1"/>
    </font>
    <font>
      <b/>
      <sz val="14"/>
      <color rgb="FFFF0000"/>
      <name val="Cambria"/>
      <family val="1"/>
    </font>
    <font>
      <b/>
      <u/>
      <sz val="18"/>
      <color rgb="FFFF0000"/>
      <name val="Cambria"/>
      <family val="1"/>
    </font>
    <font>
      <b/>
      <sz val="11"/>
      <color rgb="FF000080"/>
      <name val="Cambria"/>
      <family val="1"/>
    </font>
    <font>
      <b/>
      <sz val="12"/>
      <color rgb="FFFF0000"/>
      <name val="Cambria"/>
      <family val="1"/>
    </font>
    <font>
      <i/>
      <sz val="10"/>
      <color rgb="FFFF0000"/>
      <name val="Cambria"/>
      <family val="1"/>
    </font>
    <font>
      <sz val="8"/>
      <name val="Calibri"/>
      <family val="2"/>
      <scheme val="minor"/>
    </font>
    <font>
      <sz val="10"/>
      <color theme="1"/>
      <name val="Calibri"/>
      <family val="2"/>
      <scheme val="minor"/>
    </font>
    <font>
      <i/>
      <sz val="10"/>
      <color theme="1"/>
      <name val="Cambria"/>
      <family val="1"/>
    </font>
    <font>
      <sz val="10"/>
      <color theme="1"/>
      <name val="Calibri Light"/>
      <family val="2"/>
      <scheme val="major"/>
    </font>
    <font>
      <i/>
      <sz val="10"/>
      <color rgb="FF0000FF"/>
      <name val="Calibri Light"/>
      <family val="2"/>
      <scheme val="major"/>
    </font>
    <font>
      <b/>
      <sz val="10"/>
      <color rgb="FF0000FF"/>
      <name val="Calibri Light"/>
      <family val="2"/>
      <scheme val="major"/>
    </font>
    <font>
      <b/>
      <sz val="10"/>
      <color theme="1"/>
      <name val="Calibri Light"/>
      <family val="2"/>
      <scheme val="major"/>
    </font>
    <font>
      <i/>
      <sz val="10"/>
      <color rgb="FFFF0000"/>
      <name val="Calibri Light"/>
      <family val="2"/>
      <scheme val="major"/>
    </font>
    <font>
      <b/>
      <sz val="10"/>
      <color rgb="FFFF0000"/>
      <name val="Calibri Light"/>
      <family val="2"/>
      <scheme val="major"/>
    </font>
    <font>
      <sz val="9"/>
      <color theme="1"/>
      <name val="Calibri Light"/>
      <family val="2"/>
      <scheme val="major"/>
    </font>
    <font>
      <b/>
      <sz val="9"/>
      <color rgb="FFFF0000"/>
      <name val="Calibri Light"/>
      <family val="2"/>
      <scheme val="major"/>
    </font>
    <font>
      <b/>
      <sz val="9"/>
      <color rgb="FF0000FF"/>
      <name val="Calibri Light"/>
      <family val="2"/>
      <scheme val="major"/>
    </font>
    <font>
      <b/>
      <sz val="12"/>
      <color rgb="FF0000FF"/>
      <name val="Calibri Light"/>
      <family val="2"/>
      <scheme val="major"/>
    </font>
    <font>
      <sz val="8"/>
      <color theme="1"/>
      <name val="Calibri Light"/>
      <family val="2"/>
      <scheme val="major"/>
    </font>
    <font>
      <b/>
      <sz val="9"/>
      <color theme="1"/>
      <name val="Calibri Light"/>
      <family val="2"/>
      <scheme val="major"/>
    </font>
    <font>
      <sz val="10"/>
      <color theme="1"/>
      <name val="Arial"/>
      <family val="2"/>
    </font>
    <font>
      <sz val="9"/>
      <color theme="1"/>
      <name val="Arial"/>
      <family val="2"/>
    </font>
    <font>
      <b/>
      <sz val="9"/>
      <color theme="1"/>
      <name val="Arial"/>
      <family val="2"/>
    </font>
    <font>
      <b/>
      <sz val="10"/>
      <color rgb="FF000000"/>
      <name val="Calibri"/>
      <family val="2"/>
    </font>
    <font>
      <b/>
      <sz val="10"/>
      <color theme="1"/>
      <name val="Arial"/>
      <family val="2"/>
    </font>
    <font>
      <b/>
      <sz val="10"/>
      <color rgb="FF0000FF"/>
      <name val="Arial"/>
      <family val="2"/>
    </font>
    <font>
      <b/>
      <sz val="10"/>
      <color theme="1"/>
      <name val="Calibri"/>
      <family val="2"/>
      <scheme val="minor"/>
    </font>
    <font>
      <b/>
      <sz val="8"/>
      <color rgb="FF000000"/>
      <name val="Calibri"/>
      <family val="2"/>
    </font>
    <font>
      <b/>
      <sz val="10"/>
      <color rgb="FF000000"/>
      <name val="Calibri Light"/>
      <family val="2"/>
    </font>
  </fonts>
  <fills count="12">
    <fill>
      <patternFill patternType="none"/>
    </fill>
    <fill>
      <patternFill patternType="gray125"/>
    </fill>
    <fill>
      <patternFill patternType="solid">
        <fgColor theme="2" tint="-9.9978637043366805E-2"/>
        <bgColor indexed="64"/>
      </patternFill>
    </fill>
    <fill>
      <patternFill patternType="solid">
        <fgColor indexed="42"/>
        <bgColor indexed="64"/>
      </patternFill>
    </fill>
    <fill>
      <patternFill patternType="solid">
        <fgColor theme="8" tint="0.59999389629810485"/>
        <bgColor indexed="64"/>
      </patternFill>
    </fill>
    <fill>
      <patternFill patternType="solid">
        <fgColor rgb="FFFFFF00"/>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4" tint="0.59999389629810485"/>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medium">
        <color rgb="FFFFFFFF"/>
      </left>
      <right style="medium">
        <color rgb="FFFFFFFF"/>
      </right>
      <top style="medium">
        <color rgb="FFFFFFFF"/>
      </top>
      <bottom style="medium">
        <color rgb="FFFFFFFF"/>
      </bottom>
      <diagonal/>
    </border>
    <border>
      <left/>
      <right style="medium">
        <color rgb="FFFFFFFF"/>
      </right>
      <top/>
      <bottom/>
      <diagonal/>
    </border>
    <border>
      <left/>
      <right style="thin">
        <color rgb="FFD2EFFF"/>
      </right>
      <top/>
      <bottom/>
      <diagonal/>
    </border>
    <border>
      <left/>
      <right style="thin">
        <color indexed="64"/>
      </right>
      <top style="thin">
        <color indexed="64"/>
      </top>
      <bottom style="thin">
        <color indexed="64"/>
      </bottom>
      <diagonal/>
    </border>
    <border>
      <left style="medium">
        <color theme="0"/>
      </left>
      <right style="medium">
        <color theme="0"/>
      </right>
      <top style="medium">
        <color theme="0"/>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double">
        <color indexed="64"/>
      </right>
      <top style="medium">
        <color indexed="64"/>
      </top>
      <bottom/>
      <diagonal/>
    </border>
    <border>
      <left/>
      <right/>
      <top style="medium">
        <color indexed="64"/>
      </top>
      <bottom/>
      <diagonal/>
    </border>
    <border>
      <left/>
      <right/>
      <top/>
      <bottom style="medium">
        <color auto="1"/>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0" tint="-0.499984740745262"/>
      </right>
      <top style="thin">
        <color theme="1" tint="0.499984740745262"/>
      </top>
      <bottom style="thin">
        <color theme="1" tint="0.499984740745262"/>
      </bottom>
      <diagonal/>
    </border>
    <border>
      <left style="medium">
        <color indexed="64"/>
      </left>
      <right style="thin">
        <color indexed="64"/>
      </right>
      <top style="medium">
        <color indexed="64"/>
      </top>
      <bottom style="thin">
        <color indexed="64"/>
      </bottom>
      <diagonal/>
    </border>
    <border>
      <left/>
      <right style="medium">
        <color indexed="64"/>
      </right>
      <top style="thin">
        <color indexed="64"/>
      </top>
      <bottom/>
      <diagonal/>
    </border>
    <border>
      <left style="medium">
        <color rgb="FFFFFFFF"/>
      </left>
      <right style="medium">
        <color rgb="FFFFFFFF"/>
      </right>
      <top style="medium">
        <color rgb="FFFFFFFF"/>
      </top>
      <bottom/>
      <diagonal/>
    </border>
    <border>
      <left style="medium">
        <color rgb="FFFFFFFF"/>
      </left>
      <right style="medium">
        <color rgb="FFFFFFFF"/>
      </right>
      <top/>
      <bottom style="medium">
        <color rgb="FFFFFFFF"/>
      </bottom>
      <diagonal/>
    </border>
    <border>
      <left/>
      <right/>
      <top/>
      <bottom style="thick">
        <color auto="1"/>
      </bottom>
      <diagonal/>
    </border>
  </borders>
  <cellStyleXfs count="3">
    <xf numFmtId="0" fontId="0" fillId="0" borderId="0"/>
    <xf numFmtId="0" fontId="1" fillId="0" borderId="0"/>
    <xf numFmtId="9" fontId="7" fillId="0" borderId="0" applyFont="0" applyFill="0" applyBorder="0" applyAlignment="0" applyProtection="0"/>
  </cellStyleXfs>
  <cellXfs count="262">
    <xf numFmtId="0" fontId="0" fillId="0" borderId="0" xfId="0"/>
    <xf numFmtId="0" fontId="3" fillId="0" borderId="0" xfId="0" applyFont="1" applyAlignment="1">
      <alignment horizontal="center" vertical="center"/>
    </xf>
    <xf numFmtId="0" fontId="3" fillId="0" borderId="0"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7" xfId="0" applyFont="1" applyBorder="1" applyAlignment="1">
      <alignment horizontal="center" vertical="center"/>
    </xf>
    <xf numFmtId="0" fontId="9" fillId="0" borderId="0" xfId="0" applyFont="1" applyAlignment="1">
      <alignment horizontal="left" vertical="center"/>
    </xf>
    <xf numFmtId="0" fontId="3" fillId="0" borderId="29" xfId="0" applyFont="1" applyBorder="1" applyAlignment="1">
      <alignment horizontal="center" vertical="center"/>
    </xf>
    <xf numFmtId="0" fontId="3" fillId="0" borderId="16" xfId="0" quotePrefix="1" applyFont="1" applyBorder="1" applyAlignment="1">
      <alignment horizontal="center" vertical="center"/>
    </xf>
    <xf numFmtId="0" fontId="3" fillId="0" borderId="28" xfId="0" applyFont="1" applyBorder="1" applyAlignment="1">
      <alignment horizontal="left" vertical="center"/>
    </xf>
    <xf numFmtId="0" fontId="3" fillId="0" borderId="28" xfId="0" applyFont="1" applyBorder="1" applyAlignment="1">
      <alignment horizontal="center" vertical="center"/>
    </xf>
    <xf numFmtId="0" fontId="3" fillId="0" borderId="30" xfId="0" applyFont="1" applyBorder="1" applyAlignment="1">
      <alignment horizontal="center" vertical="center"/>
    </xf>
    <xf numFmtId="0" fontId="3" fillId="0" borderId="31" xfId="0" applyFont="1" applyBorder="1" applyAlignment="1">
      <alignment horizontal="center" vertical="center"/>
    </xf>
    <xf numFmtId="0" fontId="3" fillId="0" borderId="0" xfId="0" applyFont="1" applyBorder="1" applyAlignment="1">
      <alignment horizontal="left" vertical="center"/>
    </xf>
    <xf numFmtId="0" fontId="3" fillId="0" borderId="32" xfId="0" applyFont="1" applyBorder="1" applyAlignment="1">
      <alignment horizontal="center" vertical="center"/>
    </xf>
    <xf numFmtId="0" fontId="3" fillId="0" borderId="31" xfId="0" quotePrefix="1" applyFont="1" applyBorder="1" applyAlignment="1">
      <alignment horizontal="center" vertical="center"/>
    </xf>
    <xf numFmtId="0" fontId="3" fillId="0" borderId="0" xfId="0" applyFont="1" applyBorder="1" applyAlignment="1">
      <alignment horizontal="left" vertical="center" wrapText="1"/>
    </xf>
    <xf numFmtId="0" fontId="3" fillId="0" borderId="33" xfId="0" applyFont="1" applyBorder="1" applyAlignment="1">
      <alignment horizontal="center" vertical="center"/>
    </xf>
    <xf numFmtId="0" fontId="3" fillId="0" borderId="29" xfId="0" applyFont="1" applyBorder="1" applyAlignment="1">
      <alignment horizontal="left" vertical="center"/>
    </xf>
    <xf numFmtId="0" fontId="3" fillId="0" borderId="0" xfId="0" applyFont="1" applyBorder="1" applyAlignment="1">
      <alignment horizontal="left" vertical="center" wrapText="1"/>
    </xf>
    <xf numFmtId="0" fontId="4" fillId="0" borderId="0" xfId="0" applyFont="1" applyBorder="1" applyAlignment="1">
      <alignment horizontal="left" vertical="center"/>
    </xf>
    <xf numFmtId="0" fontId="3" fillId="0" borderId="0" xfId="0" applyFont="1" applyBorder="1" applyAlignment="1">
      <alignment horizontal="left" vertical="top" wrapText="1"/>
    </xf>
    <xf numFmtId="0" fontId="4" fillId="0" borderId="31" xfId="0" quotePrefix="1" applyFont="1" applyBorder="1" applyAlignment="1">
      <alignment horizontal="right" vertical="center"/>
    </xf>
    <xf numFmtId="0" fontId="4" fillId="0" borderId="0" xfId="0" applyFont="1" applyBorder="1" applyAlignment="1">
      <alignment horizontal="center" vertical="center"/>
    </xf>
    <xf numFmtId="0" fontId="3" fillId="0" borderId="0" xfId="0" applyFont="1" applyBorder="1" applyAlignment="1">
      <alignment horizontal="left" vertical="top"/>
    </xf>
    <xf numFmtId="0" fontId="11" fillId="0" borderId="28" xfId="0" applyFont="1" applyBorder="1" applyAlignment="1">
      <alignment horizontal="center" vertical="center"/>
    </xf>
    <xf numFmtId="0" fontId="3" fillId="0" borderId="17" xfId="0" quotePrefix="1" applyFont="1" applyBorder="1" applyAlignment="1">
      <alignment horizontal="center" vertical="center"/>
    </xf>
    <xf numFmtId="0" fontId="3" fillId="0" borderId="29" xfId="0" applyFont="1" applyBorder="1" applyAlignment="1">
      <alignment horizontal="left" vertical="top" wrapText="1"/>
    </xf>
    <xf numFmtId="0" fontId="3" fillId="0" borderId="0" xfId="0" applyFont="1" applyBorder="1" applyAlignment="1">
      <alignment horizontal="center" vertical="top"/>
    </xf>
    <xf numFmtId="0" fontId="3" fillId="0" borderId="28" xfId="0" applyFont="1" applyBorder="1" applyAlignment="1">
      <alignment vertical="top"/>
    </xf>
    <xf numFmtId="0" fontId="3" fillId="0" borderId="30" xfId="0" applyFont="1" applyBorder="1" applyAlignment="1">
      <alignment vertical="top"/>
    </xf>
    <xf numFmtId="0" fontId="3" fillId="0" borderId="0" xfId="0" applyFont="1" applyBorder="1" applyAlignment="1">
      <alignment vertical="center" wrapText="1"/>
    </xf>
    <xf numFmtId="0" fontId="3" fillId="0" borderId="0" xfId="0" applyFont="1" applyBorder="1" applyAlignment="1">
      <alignment vertical="top"/>
    </xf>
    <xf numFmtId="0" fontId="3" fillId="0" borderId="32" xfId="0" applyFont="1" applyBorder="1" applyAlignment="1">
      <alignment vertical="top"/>
    </xf>
    <xf numFmtId="0" fontId="3" fillId="0" borderId="33" xfId="0" applyFont="1" applyBorder="1" applyAlignment="1">
      <alignment vertical="top"/>
    </xf>
    <xf numFmtId="0" fontId="4" fillId="0" borderId="0" xfId="0" quotePrefix="1" applyFont="1" applyBorder="1" applyAlignment="1">
      <alignment horizontal="right" vertical="center"/>
    </xf>
    <xf numFmtId="0" fontId="3" fillId="0" borderId="0" xfId="0" quotePrefix="1" applyFont="1" applyBorder="1" applyAlignment="1">
      <alignment horizontal="center" vertical="center"/>
    </xf>
    <xf numFmtId="0" fontId="4" fillId="0" borderId="31" xfId="0" applyFont="1" applyBorder="1" applyAlignment="1">
      <alignment horizontal="right" vertical="center"/>
    </xf>
    <xf numFmtId="0" fontId="4" fillId="0" borderId="0" xfId="0" applyFont="1" applyBorder="1" applyAlignment="1">
      <alignment vertical="center"/>
    </xf>
    <xf numFmtId="0" fontId="4" fillId="0" borderId="0" xfId="0" applyFont="1" applyBorder="1" applyAlignment="1">
      <alignment vertical="center" wrapText="1"/>
    </xf>
    <xf numFmtId="0" fontId="4" fillId="0" borderId="31" xfId="0" quotePrefix="1" applyFont="1" applyBorder="1" applyAlignment="1">
      <alignment horizontal="center" vertical="center"/>
    </xf>
    <xf numFmtId="0" fontId="8" fillId="0" borderId="0" xfId="0" applyFont="1" applyBorder="1" applyAlignment="1">
      <alignment horizontal="left" vertical="center"/>
    </xf>
    <xf numFmtId="0" fontId="4" fillId="0" borderId="31" xfId="0" applyFont="1" applyBorder="1" applyAlignment="1">
      <alignment horizontal="center" vertical="center"/>
    </xf>
    <xf numFmtId="0" fontId="3" fillId="0" borderId="28" xfId="0" applyFont="1" applyBorder="1" applyAlignment="1">
      <alignment horizontal="left" vertical="center" wrapText="1"/>
    </xf>
    <xf numFmtId="0" fontId="3" fillId="0" borderId="28" xfId="0" applyFont="1" applyBorder="1" applyAlignment="1">
      <alignment vertical="center" wrapText="1"/>
    </xf>
    <xf numFmtId="0" fontId="4" fillId="0" borderId="31" xfId="0" applyFont="1" applyBorder="1" applyAlignment="1">
      <alignment horizontal="center"/>
    </xf>
    <xf numFmtId="0" fontId="4" fillId="0" borderId="0" xfId="0" applyFont="1" applyBorder="1" applyAlignment="1">
      <alignment wrapText="1"/>
    </xf>
    <xf numFmtId="0" fontId="4" fillId="0" borderId="16" xfId="0" applyFont="1" applyBorder="1" applyAlignment="1">
      <alignment horizontal="center"/>
    </xf>
    <xf numFmtId="0" fontId="4" fillId="0" borderId="28" xfId="0" applyFont="1" applyBorder="1" applyAlignment="1">
      <alignment horizontal="left"/>
    </xf>
    <xf numFmtId="0" fontId="3" fillId="0" borderId="28" xfId="0" applyFont="1" applyBorder="1" applyAlignment="1">
      <alignment wrapText="1"/>
    </xf>
    <xf numFmtId="0" fontId="4" fillId="0" borderId="0" xfId="0" applyFont="1" applyBorder="1" applyAlignment="1">
      <alignment horizontal="left" vertical="top"/>
    </xf>
    <xf numFmtId="0" fontId="4" fillId="0" borderId="31" xfId="0" applyFont="1" applyBorder="1" applyAlignment="1">
      <alignment horizontal="left" vertical="center"/>
    </xf>
    <xf numFmtId="0" fontId="13" fillId="0" borderId="7" xfId="0" applyFont="1" applyBorder="1" applyAlignment="1">
      <alignment horizontal="center" vertical="center"/>
    </xf>
    <xf numFmtId="165" fontId="8" fillId="0" borderId="34" xfId="0" applyNumberFormat="1" applyFont="1" applyBorder="1" applyAlignment="1">
      <alignment horizontal="center" vertical="center"/>
    </xf>
    <xf numFmtId="165" fontId="8" fillId="0" borderId="7" xfId="0" applyNumberFormat="1" applyFont="1" applyBorder="1" applyAlignment="1">
      <alignment horizontal="center" vertical="center"/>
    </xf>
    <xf numFmtId="0" fontId="14" fillId="0" borderId="7" xfId="0" applyFont="1" applyBorder="1" applyAlignment="1">
      <alignment horizontal="center" vertical="center"/>
    </xf>
    <xf numFmtId="0" fontId="9" fillId="0" borderId="0" xfId="0" applyFont="1" applyBorder="1" applyAlignment="1">
      <alignment horizontal="center" vertical="center"/>
    </xf>
    <xf numFmtId="0" fontId="9" fillId="0" borderId="0" xfId="0" applyFont="1" applyBorder="1" applyAlignment="1">
      <alignment horizontal="left" vertical="center" wrapText="1"/>
    </xf>
    <xf numFmtId="0" fontId="15" fillId="0" borderId="0" xfId="0" applyFont="1" applyAlignment="1" applyProtection="1">
      <alignment horizontal="center"/>
      <protection hidden="1"/>
    </xf>
    <xf numFmtId="0" fontId="3" fillId="0" borderId="0" xfId="0" applyFont="1" applyAlignment="1" applyProtection="1">
      <alignment horizontal="center" vertical="center"/>
      <protection hidden="1"/>
    </xf>
    <xf numFmtId="0" fontId="4" fillId="0" borderId="0" xfId="0" applyFont="1" applyAlignment="1" applyProtection="1">
      <alignment horizontal="center" vertical="center"/>
      <protection hidden="1"/>
    </xf>
    <xf numFmtId="0" fontId="18" fillId="0" borderId="0" xfId="0" applyFont="1" applyAlignment="1" applyProtection="1">
      <alignment horizontal="center" vertical="center"/>
      <protection hidden="1"/>
    </xf>
    <xf numFmtId="0" fontId="3" fillId="0" borderId="0" xfId="0" applyFont="1" applyAlignment="1" applyProtection="1">
      <alignment horizontal="left" vertical="center"/>
      <protection hidden="1"/>
    </xf>
    <xf numFmtId="0" fontId="5" fillId="0" borderId="0" xfId="0" applyFont="1" applyAlignment="1" applyProtection="1">
      <alignment horizontal="center"/>
      <protection hidden="1"/>
    </xf>
    <xf numFmtId="164" fontId="8" fillId="0" borderId="0" xfId="0" applyNumberFormat="1" applyFont="1" applyBorder="1" applyAlignment="1" applyProtection="1">
      <alignment horizontal="center"/>
      <protection hidden="1"/>
    </xf>
    <xf numFmtId="0" fontId="8" fillId="5" borderId="7" xfId="0" applyFont="1" applyFill="1" applyBorder="1" applyAlignment="1" applyProtection="1">
      <alignment horizontal="center" vertical="center"/>
      <protection locked="0" hidden="1"/>
    </xf>
    <xf numFmtId="164" fontId="8" fillId="0" borderId="29" xfId="0" applyNumberFormat="1" applyFont="1" applyBorder="1" applyAlignment="1" applyProtection="1">
      <alignment horizontal="center"/>
      <protection locked="0" hidden="1"/>
    </xf>
    <xf numFmtId="0" fontId="2" fillId="2" borderId="1" xfId="1" applyFont="1" applyFill="1" applyBorder="1" applyAlignment="1" applyProtection="1">
      <alignment horizontal="center" vertical="center"/>
      <protection hidden="1"/>
    </xf>
    <xf numFmtId="164" fontId="2" fillId="2" borderId="1" xfId="1" applyNumberFormat="1" applyFont="1" applyFill="1" applyBorder="1" applyAlignment="1" applyProtection="1">
      <alignment horizontal="center" vertical="center"/>
      <protection hidden="1"/>
    </xf>
    <xf numFmtId="164" fontId="2" fillId="2" borderId="1" xfId="1" applyNumberFormat="1" applyFont="1" applyFill="1" applyBorder="1" applyAlignment="1" applyProtection="1">
      <alignment horizontal="center" vertical="center" wrapText="1"/>
      <protection hidden="1"/>
    </xf>
    <xf numFmtId="0" fontId="22" fillId="0" borderId="0" xfId="0" applyFont="1" applyFill="1" applyBorder="1" applyAlignment="1" applyProtection="1">
      <alignment horizontal="center"/>
      <protection hidden="1"/>
    </xf>
    <xf numFmtId="0" fontId="3" fillId="0" borderId="0" xfId="0" applyFont="1" applyBorder="1" applyAlignment="1" applyProtection="1">
      <alignment horizontal="center" vertical="center"/>
      <protection hidden="1"/>
    </xf>
    <xf numFmtId="0" fontId="3" fillId="0" borderId="1"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locked="0"/>
    </xf>
    <xf numFmtId="0" fontId="4" fillId="0" borderId="20" xfId="0" applyFont="1" applyBorder="1" applyAlignment="1" applyProtection="1">
      <alignment vertical="center"/>
      <protection locked="0"/>
    </xf>
    <xf numFmtId="0" fontId="4" fillId="0" borderId="18"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36"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9" fontId="4" fillId="0" borderId="19" xfId="2" applyFont="1" applyBorder="1" applyAlignment="1" applyProtection="1">
      <alignment horizontal="center" vertical="center"/>
      <protection locked="0"/>
    </xf>
    <xf numFmtId="9" fontId="4" fillId="0" borderId="14" xfId="2" applyFont="1" applyBorder="1" applyAlignment="1" applyProtection="1">
      <alignment horizontal="center" vertical="center"/>
      <protection locked="0"/>
    </xf>
    <xf numFmtId="9" fontId="4" fillId="0" borderId="42" xfId="2" applyFont="1" applyBorder="1" applyAlignment="1" applyProtection="1">
      <alignment horizontal="center" vertical="center"/>
      <protection locked="0"/>
    </xf>
    <xf numFmtId="0" fontId="3" fillId="0" borderId="37" xfId="0" applyFont="1" applyBorder="1" applyAlignment="1" applyProtection="1">
      <alignment horizontal="center" vertical="center"/>
      <protection locked="0"/>
    </xf>
    <xf numFmtId="1" fontId="3" fillId="0" borderId="35" xfId="0" applyNumberFormat="1" applyFont="1" applyBorder="1" applyAlignment="1" applyProtection="1">
      <alignment horizontal="center" vertical="center"/>
      <protection locked="0"/>
    </xf>
    <xf numFmtId="0" fontId="3" fillId="0" borderId="38" xfId="0" applyFont="1" applyBorder="1" applyAlignment="1" applyProtection="1">
      <alignment horizontal="center" vertical="center"/>
      <protection locked="0"/>
    </xf>
    <xf numFmtId="0" fontId="3" fillId="0" borderId="39" xfId="0" applyFont="1" applyBorder="1" applyAlignment="1" applyProtection="1">
      <alignment horizontal="center" vertical="center"/>
      <protection locked="0"/>
    </xf>
    <xf numFmtId="0" fontId="3" fillId="0" borderId="40"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9" fontId="3" fillId="0" borderId="14" xfId="2" applyFont="1" applyBorder="1" applyAlignment="1" applyProtection="1">
      <alignment horizontal="center" vertical="center"/>
      <protection locked="0"/>
    </xf>
    <xf numFmtId="9" fontId="3" fillId="0" borderId="15" xfId="0" applyNumberFormat="1" applyFont="1" applyBorder="1" applyAlignment="1" applyProtection="1">
      <alignment horizontal="center" vertical="center"/>
      <protection locked="0"/>
    </xf>
    <xf numFmtId="9" fontId="3" fillId="0" borderId="35" xfId="0" applyNumberFormat="1" applyFont="1" applyBorder="1" applyAlignment="1" applyProtection="1">
      <alignment horizontal="center" vertical="center"/>
      <protection locked="0"/>
    </xf>
    <xf numFmtId="9" fontId="3" fillId="0" borderId="38" xfId="0" applyNumberFormat="1" applyFont="1" applyBorder="1" applyAlignment="1" applyProtection="1">
      <alignment horizontal="center" vertical="center"/>
      <protection locked="0"/>
    </xf>
    <xf numFmtId="1" fontId="3" fillId="0" borderId="1" xfId="0" applyNumberFormat="1" applyFont="1" applyBorder="1" applyAlignment="1" applyProtection="1">
      <alignment horizontal="center" vertical="center"/>
      <protection locked="0"/>
    </xf>
    <xf numFmtId="1" fontId="3" fillId="0" borderId="14" xfId="0" applyNumberFormat="1" applyFont="1" applyBorder="1" applyAlignment="1" applyProtection="1">
      <alignment horizontal="center" vertical="center"/>
      <protection locked="0"/>
    </xf>
    <xf numFmtId="164" fontId="3" fillId="0" borderId="0" xfId="0" applyNumberFormat="1" applyFont="1" applyBorder="1" applyAlignment="1">
      <alignment vertical="center"/>
    </xf>
    <xf numFmtId="164" fontId="3" fillId="0" borderId="0" xfId="0" applyNumberFormat="1" applyFont="1" applyBorder="1" applyAlignment="1">
      <alignment horizontal="center" vertical="center"/>
    </xf>
    <xf numFmtId="0" fontId="9" fillId="0" borderId="0" xfId="0" applyFont="1" applyAlignment="1">
      <alignment vertical="center"/>
    </xf>
    <xf numFmtId="0" fontId="4" fillId="0" borderId="0" xfId="0" applyFont="1" applyBorder="1" applyAlignment="1">
      <alignment horizontal="left"/>
    </xf>
    <xf numFmtId="0" fontId="23" fillId="0" borderId="43" xfId="1" applyFont="1" applyFill="1" applyBorder="1" applyAlignment="1" applyProtection="1">
      <alignment vertical="top"/>
      <protection locked="0"/>
    </xf>
    <xf numFmtId="166" fontId="23" fillId="0" borderId="44" xfId="1" applyNumberFormat="1" applyFont="1" applyFill="1" applyBorder="1" applyAlignment="1" applyProtection="1">
      <alignment vertical="top"/>
      <protection locked="0"/>
    </xf>
    <xf numFmtId="0" fontId="24" fillId="0" borderId="0" xfId="0" applyFont="1" applyAlignment="1">
      <alignment horizontal="center" vertical="center"/>
    </xf>
    <xf numFmtId="0" fontId="24" fillId="0" borderId="0" xfId="0" applyFont="1" applyAlignment="1">
      <alignment horizontal="left" vertical="center"/>
    </xf>
    <xf numFmtId="0" fontId="25" fillId="0" borderId="29" xfId="0" applyFont="1" applyBorder="1" applyAlignment="1">
      <alignment horizontal="left" vertical="center"/>
    </xf>
    <xf numFmtId="0" fontId="3" fillId="0" borderId="0" xfId="0" applyFont="1" applyFill="1" applyBorder="1" applyAlignment="1" applyProtection="1">
      <alignment horizontal="center" vertical="center"/>
      <protection locked="0"/>
    </xf>
    <xf numFmtId="164" fontId="2" fillId="5" borderId="1" xfId="1" applyNumberFormat="1" applyFont="1" applyFill="1" applyBorder="1" applyAlignment="1" applyProtection="1">
      <alignment horizontal="center" vertical="center" wrapText="1"/>
      <protection hidden="1"/>
    </xf>
    <xf numFmtId="0" fontId="3" fillId="5" borderId="40" xfId="0" applyFont="1" applyFill="1" applyBorder="1" applyAlignment="1" applyProtection="1">
      <alignment horizontal="center" vertical="center"/>
      <protection locked="0"/>
    </xf>
    <xf numFmtId="1" fontId="3" fillId="5" borderId="15" xfId="0" applyNumberFormat="1" applyFont="1" applyFill="1" applyBorder="1" applyAlignment="1" applyProtection="1">
      <alignment horizontal="center" vertical="center"/>
      <protection locked="0"/>
    </xf>
    <xf numFmtId="0" fontId="26" fillId="0" borderId="0" xfId="0" applyFont="1" applyAlignment="1">
      <alignment horizontal="center" vertical="center"/>
    </xf>
    <xf numFmtId="0" fontId="26" fillId="0" borderId="0" xfId="0" applyFont="1" applyAlignment="1">
      <alignment vertical="center"/>
    </xf>
    <xf numFmtId="0" fontId="27" fillId="0" borderId="0" xfId="0" applyFont="1" applyFill="1" applyBorder="1" applyAlignment="1">
      <alignment horizontal="right" vertical="center"/>
    </xf>
    <xf numFmtId="0" fontId="28" fillId="0" borderId="0" xfId="0" applyFont="1" applyAlignment="1">
      <alignment horizontal="center" vertical="center"/>
    </xf>
    <xf numFmtId="0" fontId="29" fillId="0" borderId="0" xfId="0" applyFont="1" applyAlignment="1">
      <alignment horizontal="center" vertical="center"/>
    </xf>
    <xf numFmtId="0" fontId="30" fillId="0" borderId="0" xfId="0" applyFont="1" applyAlignment="1">
      <alignment horizontal="right" vertical="center"/>
    </xf>
    <xf numFmtId="0" fontId="31" fillId="0" borderId="0" xfId="0" applyFont="1" applyAlignment="1">
      <alignment horizontal="center" vertical="center"/>
    </xf>
    <xf numFmtId="0" fontId="26" fillId="0" borderId="0" xfId="0" applyFont="1" applyAlignment="1">
      <alignment horizontal="center" vertical="center" wrapText="1"/>
    </xf>
    <xf numFmtId="0" fontId="26" fillId="0" borderId="0" xfId="0" applyFont="1" applyFill="1" applyAlignment="1">
      <alignment horizontal="center" vertical="center"/>
    </xf>
    <xf numFmtId="0" fontId="29" fillId="0" borderId="0" xfId="0" applyFont="1" applyFill="1" applyAlignment="1">
      <alignment horizontal="center" vertical="center"/>
    </xf>
    <xf numFmtId="0" fontId="26" fillId="0" borderId="0" xfId="0" applyFont="1" applyFill="1" applyBorder="1" applyAlignment="1">
      <alignment horizontal="center" vertical="center" textRotation="90" wrapText="1"/>
    </xf>
    <xf numFmtId="0" fontId="26" fillId="0" borderId="0" xfId="0" applyFont="1" applyFill="1" applyAlignment="1">
      <alignment horizontal="center" vertical="center" wrapText="1"/>
    </xf>
    <xf numFmtId="0" fontId="29" fillId="0" borderId="0" xfId="0" applyFont="1" applyFill="1" applyAlignment="1">
      <alignment horizontal="right" vertical="center"/>
    </xf>
    <xf numFmtId="0" fontId="29" fillId="5" borderId="1" xfId="0" applyFont="1" applyFill="1" applyBorder="1" applyAlignment="1">
      <alignment horizontal="center" vertical="center"/>
    </xf>
    <xf numFmtId="0" fontId="26" fillId="0" borderId="0" xfId="0" applyFont="1" applyFill="1" applyBorder="1" applyAlignment="1">
      <alignment horizontal="center" textRotation="90" wrapText="1"/>
    </xf>
    <xf numFmtId="165" fontId="29" fillId="0" borderId="0" xfId="0" applyNumberFormat="1" applyFont="1" applyFill="1" applyAlignment="1">
      <alignment horizontal="center" vertical="center"/>
    </xf>
    <xf numFmtId="0" fontId="29" fillId="0" borderId="0" xfId="0" applyFont="1" applyFill="1" applyAlignment="1">
      <alignment horizontal="left" vertical="center"/>
    </xf>
    <xf numFmtId="0" fontId="32" fillId="0" borderId="5" xfId="0" applyFont="1" applyBorder="1" applyAlignment="1">
      <alignment horizontal="center" vertical="center"/>
    </xf>
    <xf numFmtId="0" fontId="26" fillId="0" borderId="0" xfId="0" applyFont="1" applyBorder="1" applyAlignment="1">
      <alignment horizontal="center" vertical="center"/>
    </xf>
    <xf numFmtId="0" fontId="28" fillId="0" borderId="0" xfId="0" applyFont="1" applyBorder="1" applyAlignment="1">
      <alignment horizontal="center" vertical="center"/>
    </xf>
    <xf numFmtId="0" fontId="35" fillId="0" borderId="27" xfId="0" applyFont="1" applyBorder="1" applyAlignment="1">
      <alignment horizontal="right" vertical="center"/>
    </xf>
    <xf numFmtId="0" fontId="36" fillId="0" borderId="5" xfId="0" applyFont="1" applyBorder="1" applyAlignment="1">
      <alignment horizontal="center" vertical="center" wrapText="1"/>
    </xf>
    <xf numFmtId="0" fontId="26" fillId="5" borderId="10" xfId="0" applyFont="1" applyFill="1" applyBorder="1" applyAlignment="1">
      <alignment horizontal="center" vertical="center"/>
    </xf>
    <xf numFmtId="0" fontId="26" fillId="0" borderId="11" xfId="0" applyFont="1" applyBorder="1" applyAlignment="1">
      <alignment horizontal="center" vertical="center"/>
    </xf>
    <xf numFmtId="0" fontId="26" fillId="0" borderId="19" xfId="0" applyFont="1" applyBorder="1" applyAlignment="1">
      <alignment horizontal="center" vertical="center"/>
    </xf>
    <xf numFmtId="0" fontId="26" fillId="0" borderId="14" xfId="0" applyFont="1" applyBorder="1" applyAlignment="1">
      <alignment horizontal="center" vertical="center"/>
    </xf>
    <xf numFmtId="0" fontId="26" fillId="5" borderId="14" xfId="0" applyFont="1" applyFill="1" applyBorder="1" applyAlignment="1">
      <alignment horizontal="center" vertical="center"/>
    </xf>
    <xf numFmtId="0" fontId="26" fillId="0" borderId="15" xfId="0" applyFont="1" applyBorder="1" applyAlignment="1">
      <alignment horizontal="center" vertical="center"/>
    </xf>
    <xf numFmtId="0" fontId="26" fillId="0" borderId="8" xfId="0" applyFont="1" applyBorder="1" applyAlignment="1">
      <alignment horizontal="center" vertical="center"/>
    </xf>
    <xf numFmtId="0" fontId="26" fillId="0" borderId="9" xfId="0" applyFont="1" applyBorder="1" applyAlignment="1">
      <alignment horizontal="center" vertical="center" wrapText="1"/>
    </xf>
    <xf numFmtId="0" fontId="26" fillId="0" borderId="9" xfId="0" applyFont="1" applyBorder="1" applyAlignment="1">
      <alignment horizontal="center" vertical="center"/>
    </xf>
    <xf numFmtId="9" fontId="26" fillId="0" borderId="9" xfId="2" applyFont="1" applyBorder="1" applyAlignment="1">
      <alignment horizontal="center" vertical="center"/>
    </xf>
    <xf numFmtId="0" fontId="26" fillId="5" borderId="9" xfId="0" applyFont="1" applyFill="1" applyBorder="1" applyAlignment="1">
      <alignment horizontal="center" vertical="center"/>
    </xf>
    <xf numFmtId="9" fontId="26" fillId="0" borderId="22" xfId="2" applyFont="1" applyBorder="1" applyAlignment="1">
      <alignment horizontal="center" vertical="center"/>
    </xf>
    <xf numFmtId="9" fontId="26" fillId="0" borderId="22" xfId="2" applyNumberFormat="1" applyFont="1" applyBorder="1" applyAlignment="1">
      <alignment horizontal="center" vertical="center"/>
    </xf>
    <xf numFmtId="0" fontId="26" fillId="0" borderId="13" xfId="0" applyFont="1" applyBorder="1" applyAlignment="1">
      <alignment horizontal="center" vertical="center"/>
    </xf>
    <xf numFmtId="9" fontId="26" fillId="0" borderId="13" xfId="2" applyFont="1" applyBorder="1" applyAlignment="1">
      <alignment horizontal="center" vertical="center"/>
    </xf>
    <xf numFmtId="0" fontId="26" fillId="5" borderId="13" xfId="0" applyFont="1" applyFill="1" applyBorder="1" applyAlignment="1">
      <alignment horizontal="center" vertical="center"/>
    </xf>
    <xf numFmtId="9" fontId="26" fillId="0" borderId="23" xfId="2" applyFont="1" applyBorder="1" applyAlignment="1">
      <alignment horizontal="center" vertical="center"/>
    </xf>
    <xf numFmtId="0" fontId="26" fillId="0" borderId="10" xfId="0" applyFont="1" applyBorder="1" applyAlignment="1">
      <alignment horizontal="center" vertical="center"/>
    </xf>
    <xf numFmtId="9" fontId="26" fillId="0" borderId="10" xfId="2" applyFont="1" applyBorder="1" applyAlignment="1">
      <alignment horizontal="center" vertical="center"/>
    </xf>
    <xf numFmtId="9" fontId="26" fillId="0" borderId="11" xfId="2" applyFont="1" applyBorder="1" applyAlignment="1">
      <alignment horizontal="center" vertical="center"/>
    </xf>
    <xf numFmtId="9" fontId="26" fillId="0" borderId="14" xfId="2" applyFont="1" applyBorder="1" applyAlignment="1">
      <alignment horizontal="center" vertical="center"/>
    </xf>
    <xf numFmtId="9" fontId="26" fillId="0" borderId="15" xfId="2" applyFont="1" applyBorder="1" applyAlignment="1">
      <alignment horizontal="center" vertical="center"/>
    </xf>
    <xf numFmtId="0" fontId="26" fillId="0" borderId="24" xfId="0" applyFont="1" applyBorder="1" applyAlignment="1">
      <alignment horizontal="center" vertical="center"/>
    </xf>
    <xf numFmtId="0" fontId="26" fillId="0" borderId="25" xfId="0" applyFont="1" applyBorder="1" applyAlignment="1">
      <alignment horizontal="center" vertical="center"/>
    </xf>
    <xf numFmtId="9" fontId="26" fillId="0" borderId="25" xfId="2" applyFont="1" applyBorder="1" applyAlignment="1">
      <alignment horizontal="center" vertical="center"/>
    </xf>
    <xf numFmtId="0" fontId="26" fillId="5" borderId="25" xfId="0" applyFont="1" applyFill="1" applyBorder="1" applyAlignment="1">
      <alignment horizontal="center" vertical="center"/>
    </xf>
    <xf numFmtId="9" fontId="26" fillId="0" borderId="26" xfId="2" applyFont="1" applyBorder="1" applyAlignment="1">
      <alignment horizontal="center" vertical="center"/>
    </xf>
    <xf numFmtId="0" fontId="26" fillId="0" borderId="22" xfId="0" applyFont="1" applyBorder="1" applyAlignment="1">
      <alignment horizontal="center" vertical="center"/>
    </xf>
    <xf numFmtId="0" fontId="26" fillId="0" borderId="26" xfId="0" applyFont="1" applyBorder="1" applyAlignment="1">
      <alignment horizontal="center" vertical="center"/>
    </xf>
    <xf numFmtId="0" fontId="26" fillId="8" borderId="1" xfId="0" applyFont="1" applyFill="1" applyBorder="1" applyAlignment="1">
      <alignment horizontal="center" vertical="center"/>
    </xf>
    <xf numFmtId="0" fontId="26" fillId="9" borderId="1" xfId="0" applyFont="1" applyFill="1" applyBorder="1" applyAlignment="1">
      <alignment horizontal="center" vertical="center"/>
    </xf>
    <xf numFmtId="0" fontId="26" fillId="6" borderId="1" xfId="0" applyFont="1" applyFill="1" applyBorder="1" applyAlignment="1">
      <alignment horizontal="center" vertical="center"/>
    </xf>
    <xf numFmtId="0" fontId="26" fillId="7" borderId="1" xfId="0" applyFont="1" applyFill="1" applyBorder="1" applyAlignment="1">
      <alignment horizontal="center" vertical="center"/>
    </xf>
    <xf numFmtId="0" fontId="31" fillId="5" borderId="1" xfId="0" applyFont="1" applyFill="1" applyBorder="1" applyAlignment="1">
      <alignment horizontal="center" vertical="center"/>
    </xf>
    <xf numFmtId="0" fontId="26" fillId="0" borderId="45" xfId="0" applyFont="1" applyBorder="1" applyAlignment="1">
      <alignment horizontal="center" vertical="center"/>
    </xf>
    <xf numFmtId="0" fontId="26" fillId="0" borderId="11" xfId="0" applyFont="1" applyBorder="1" applyAlignment="1">
      <alignment horizontal="left" vertical="center" wrapText="1"/>
    </xf>
    <xf numFmtId="0" fontId="26" fillId="0" borderId="39" xfId="0" applyFont="1" applyBorder="1" applyAlignment="1">
      <alignment horizontal="center" vertical="center"/>
    </xf>
    <xf numFmtId="0" fontId="26" fillId="0" borderId="40" xfId="0" applyFont="1" applyBorder="1" applyAlignment="1">
      <alignment horizontal="left" vertical="center" wrapText="1"/>
    </xf>
    <xf numFmtId="0" fontId="26" fillId="0" borderId="31" xfId="0" applyFont="1" applyBorder="1" applyAlignment="1">
      <alignment horizontal="center" vertical="center"/>
    </xf>
    <xf numFmtId="0" fontId="31" fillId="0" borderId="46" xfId="0" applyFont="1" applyBorder="1" applyAlignment="1">
      <alignment horizontal="right" vertical="center" wrapText="1"/>
    </xf>
    <xf numFmtId="0" fontId="26" fillId="0" borderId="17" xfId="0" applyFont="1" applyBorder="1" applyAlignment="1">
      <alignment horizontal="center" vertical="center"/>
    </xf>
    <xf numFmtId="0" fontId="28" fillId="0" borderId="33" xfId="0" applyFont="1" applyBorder="1" applyAlignment="1">
      <alignment horizontal="right" vertical="center" wrapText="1"/>
    </xf>
    <xf numFmtId="0" fontId="28" fillId="0" borderId="0" xfId="0" applyFont="1" applyBorder="1" applyAlignment="1">
      <alignment horizontal="right" vertical="center" wrapText="1"/>
    </xf>
    <xf numFmtId="0" fontId="34" fillId="0" borderId="0" xfId="0" applyFont="1" applyBorder="1" applyAlignment="1">
      <alignment horizontal="center" vertical="center"/>
    </xf>
    <xf numFmtId="0" fontId="31" fillId="0" borderId="32" xfId="0" applyFont="1" applyBorder="1" applyAlignment="1">
      <alignment horizontal="right" vertical="center" wrapText="1"/>
    </xf>
    <xf numFmtId="2" fontId="32" fillId="0" borderId="5" xfId="0" applyNumberFormat="1" applyFont="1" applyBorder="1" applyAlignment="1">
      <alignment horizontal="center" vertical="center"/>
    </xf>
    <xf numFmtId="2" fontId="33" fillId="0" borderId="5" xfId="0" applyNumberFormat="1" applyFont="1" applyBorder="1" applyAlignment="1">
      <alignment horizontal="center" vertical="center"/>
    </xf>
    <xf numFmtId="2" fontId="34" fillId="0" borderId="5" xfId="0" applyNumberFormat="1" applyFont="1" applyBorder="1" applyAlignment="1">
      <alignment horizontal="center" vertical="center"/>
    </xf>
    <xf numFmtId="2" fontId="34" fillId="0" borderId="0" xfId="0" applyNumberFormat="1" applyFont="1" applyBorder="1" applyAlignment="1">
      <alignment horizontal="center" vertical="center"/>
    </xf>
    <xf numFmtId="0" fontId="37" fillId="0" borderId="5" xfId="0" applyFont="1" applyBorder="1" applyAlignment="1">
      <alignment horizontal="center" vertical="center"/>
    </xf>
    <xf numFmtId="9" fontId="37" fillId="0" borderId="5" xfId="2" applyNumberFormat="1" applyFont="1" applyBorder="1" applyAlignment="1">
      <alignment horizontal="center" vertical="center"/>
    </xf>
    <xf numFmtId="0" fontId="37" fillId="5" borderId="1" xfId="0" applyFont="1" applyFill="1" applyBorder="1" applyAlignment="1">
      <alignment horizontal="center" vertical="center"/>
    </xf>
    <xf numFmtId="1" fontId="31" fillId="5" borderId="5" xfId="0" applyNumberFormat="1" applyFont="1" applyFill="1" applyBorder="1" applyAlignment="1">
      <alignment horizontal="center" vertical="center"/>
    </xf>
    <xf numFmtId="0" fontId="26" fillId="0" borderId="16" xfId="0" applyFont="1" applyBorder="1" applyAlignment="1">
      <alignment horizontal="center" vertical="center"/>
    </xf>
    <xf numFmtId="0" fontId="35" fillId="0" borderId="30" xfId="0" applyFont="1" applyBorder="1" applyAlignment="1">
      <alignment horizontal="right" vertical="center"/>
    </xf>
    <xf numFmtId="0" fontId="35" fillId="0" borderId="32" xfId="0" applyFont="1" applyBorder="1" applyAlignment="1">
      <alignment horizontal="right" vertical="center"/>
    </xf>
    <xf numFmtId="0" fontId="26" fillId="0" borderId="33" xfId="0" applyFont="1" applyBorder="1" applyAlignment="1">
      <alignment horizontal="center" vertical="center"/>
    </xf>
    <xf numFmtId="9" fontId="29" fillId="5" borderId="7" xfId="2" applyFont="1" applyFill="1" applyBorder="1" applyAlignment="1">
      <alignment horizontal="center" vertical="center"/>
    </xf>
    <xf numFmtId="2" fontId="32" fillId="0" borderId="1" xfId="0" applyNumberFormat="1" applyFont="1" applyFill="1" applyBorder="1" applyAlignment="1">
      <alignment horizontal="center" vertical="center" wrapText="1"/>
    </xf>
    <xf numFmtId="2" fontId="32" fillId="0" borderId="1" xfId="0" applyNumberFormat="1" applyFont="1" applyFill="1" applyBorder="1" applyAlignment="1">
      <alignment horizontal="center" vertical="center"/>
    </xf>
    <xf numFmtId="0" fontId="32" fillId="10" borderId="1" xfId="0" applyFont="1" applyFill="1" applyBorder="1" applyAlignment="1">
      <alignment horizontal="center" vertical="center"/>
    </xf>
    <xf numFmtId="9" fontId="32" fillId="10" borderId="1" xfId="2" applyFont="1" applyFill="1" applyBorder="1" applyAlignment="1">
      <alignment horizontal="center" vertical="center"/>
    </xf>
    <xf numFmtId="0" fontId="39" fillId="4" borderId="6" xfId="0" applyFont="1" applyFill="1" applyBorder="1" applyAlignment="1">
      <alignment horizontal="center" textRotation="90" wrapText="1"/>
    </xf>
    <xf numFmtId="0" fontId="39" fillId="0" borderId="0" xfId="0" applyFont="1" applyAlignment="1">
      <alignment horizontal="center" vertical="center"/>
    </xf>
    <xf numFmtId="0" fontId="40" fillId="0" borderId="0" xfId="0" applyFont="1" applyAlignment="1">
      <alignment horizontal="right" vertical="center"/>
    </xf>
    <xf numFmtId="0" fontId="39" fillId="0" borderId="0" xfId="0" applyFont="1" applyAlignment="1">
      <alignment horizontal="center" vertical="center" wrapText="1"/>
    </xf>
    <xf numFmtId="0" fontId="38" fillId="0" borderId="0" xfId="0" applyFont="1" applyFill="1" applyAlignment="1">
      <alignment horizontal="center" vertical="center"/>
    </xf>
    <xf numFmtId="0" fontId="42" fillId="0" borderId="3" xfId="0" applyFont="1" applyFill="1" applyBorder="1" applyAlignment="1">
      <alignment horizontal="right" vertical="center"/>
    </xf>
    <xf numFmtId="0" fontId="38" fillId="3" borderId="2" xfId="0" applyFont="1" applyFill="1" applyBorder="1" applyAlignment="1">
      <alignment horizontal="center" vertical="center"/>
    </xf>
    <xf numFmtId="164" fontId="38" fillId="0" borderId="0" xfId="0" applyNumberFormat="1" applyFont="1" applyFill="1" applyAlignment="1">
      <alignment horizontal="center" vertical="center"/>
    </xf>
    <xf numFmtId="164" fontId="42" fillId="0" borderId="3" xfId="0" applyNumberFormat="1" applyFont="1" applyFill="1" applyBorder="1" applyAlignment="1">
      <alignment horizontal="right" vertical="center"/>
    </xf>
    <xf numFmtId="164" fontId="38" fillId="3" borderId="2" xfId="0" applyNumberFormat="1" applyFont="1" applyFill="1" applyBorder="1" applyAlignment="1">
      <alignment horizontal="center" vertical="center"/>
    </xf>
    <xf numFmtId="0" fontId="42" fillId="0" borderId="0" xfId="0" applyFont="1" applyFill="1" applyBorder="1" applyAlignment="1">
      <alignment horizontal="left" vertical="top" wrapText="1"/>
    </xf>
    <xf numFmtId="0" fontId="38" fillId="3" borderId="2" xfId="0" applyFont="1" applyFill="1" applyBorder="1" applyAlignment="1">
      <alignment horizontal="left" vertical="top" wrapText="1"/>
    </xf>
    <xf numFmtId="0" fontId="38" fillId="0" borderId="0" xfId="0" applyFont="1" applyFill="1" applyAlignment="1">
      <alignment horizontal="left" vertical="top" wrapText="1"/>
    </xf>
    <xf numFmtId="0" fontId="38" fillId="0" borderId="0" xfId="0" applyFont="1" applyFill="1" applyBorder="1" applyAlignment="1">
      <alignment horizontal="left" vertical="top" wrapText="1"/>
    </xf>
    <xf numFmtId="0" fontId="42" fillId="0" borderId="4" xfId="0" applyFont="1" applyFill="1" applyBorder="1" applyAlignment="1">
      <alignment horizontal="left" vertical="top" wrapText="1"/>
    </xf>
    <xf numFmtId="0" fontId="43" fillId="0" borderId="0" xfId="0" applyFont="1" applyFill="1" applyBorder="1" applyAlignment="1">
      <alignment horizontal="left" vertical="center"/>
    </xf>
    <xf numFmtId="0" fontId="38" fillId="0" borderId="0" xfId="0" applyFont="1" applyFill="1" applyBorder="1" applyAlignment="1">
      <alignment horizontal="center" vertical="center"/>
    </xf>
    <xf numFmtId="2" fontId="38" fillId="11" borderId="48" xfId="0" applyNumberFormat="1" applyFont="1" applyFill="1" applyBorder="1" applyAlignment="1">
      <alignment horizontal="center" vertical="center"/>
    </xf>
    <xf numFmtId="2" fontId="38" fillId="3" borderId="47" xfId="0" applyNumberFormat="1" applyFont="1" applyFill="1" applyBorder="1" applyAlignment="1">
      <alignment horizontal="center" vertical="center"/>
    </xf>
    <xf numFmtId="0" fontId="4" fillId="0" borderId="49" xfId="0" applyFont="1" applyBorder="1" applyAlignment="1" applyProtection="1">
      <alignment horizontal="center" vertical="center"/>
      <protection hidden="1"/>
    </xf>
    <xf numFmtId="0" fontId="44" fillId="0" borderId="0" xfId="0" applyFont="1" applyAlignment="1">
      <alignment horizontal="center" vertical="center"/>
    </xf>
    <xf numFmtId="0" fontId="44" fillId="0" borderId="0" xfId="0" applyFont="1" applyAlignment="1">
      <alignment horizontal="left" vertical="center"/>
    </xf>
    <xf numFmtId="0" fontId="19" fillId="0" borderId="0" xfId="0" applyFont="1" applyAlignment="1" applyProtection="1">
      <alignment horizontal="center" vertical="center"/>
      <protection hidden="1"/>
    </xf>
    <xf numFmtId="0" fontId="26" fillId="0" borderId="24" xfId="0" applyFont="1" applyBorder="1" applyAlignment="1">
      <alignment horizontal="center" vertical="center"/>
    </xf>
    <xf numFmtId="0" fontId="26" fillId="0" borderId="25" xfId="0" applyFont="1" applyBorder="1" applyAlignment="1">
      <alignment horizontal="center" vertical="center"/>
    </xf>
    <xf numFmtId="0" fontId="26" fillId="0" borderId="18" xfId="0" applyFont="1" applyBorder="1" applyAlignment="1">
      <alignment horizontal="center" vertical="center"/>
    </xf>
    <xf numFmtId="0" fontId="26" fillId="0" borderId="10" xfId="0" applyFont="1" applyBorder="1" applyAlignment="1">
      <alignment horizontal="center" vertical="center"/>
    </xf>
    <xf numFmtId="0" fontId="26" fillId="0" borderId="20" xfId="0" applyFont="1" applyBorder="1" applyAlignment="1">
      <alignment horizontal="center" vertical="center"/>
    </xf>
    <xf numFmtId="0" fontId="26" fillId="0" borderId="21" xfId="0" applyFont="1" applyBorder="1" applyAlignment="1">
      <alignment horizontal="center" vertical="center"/>
    </xf>
    <xf numFmtId="0" fontId="26" fillId="0" borderId="8" xfId="0" applyFont="1" applyBorder="1" applyAlignment="1">
      <alignment horizontal="center" vertical="center"/>
    </xf>
    <xf numFmtId="0" fontId="26" fillId="0" borderId="12" xfId="0" applyFont="1" applyBorder="1" applyAlignment="1">
      <alignment horizontal="center" vertical="center"/>
    </xf>
    <xf numFmtId="0" fontId="26" fillId="0" borderId="9" xfId="0" applyFont="1" applyBorder="1" applyAlignment="1">
      <alignment horizontal="center" vertical="center"/>
    </xf>
    <xf numFmtId="0" fontId="42" fillId="0" borderId="3" xfId="0" applyFont="1" applyFill="1" applyBorder="1" applyAlignment="1">
      <alignment horizontal="left" vertical="top" wrapText="1"/>
    </xf>
    <xf numFmtId="0" fontId="9" fillId="0" borderId="0" xfId="0" applyFont="1" applyBorder="1" applyAlignment="1">
      <alignment horizontal="left" vertical="center" wrapText="1"/>
    </xf>
    <xf numFmtId="0" fontId="9" fillId="0" borderId="29" xfId="0" applyFont="1" applyBorder="1" applyAlignment="1">
      <alignment horizontal="left" vertical="top" wrapText="1"/>
    </xf>
    <xf numFmtId="0" fontId="13" fillId="0" borderId="16" xfId="0" applyFont="1" applyBorder="1" applyAlignment="1">
      <alignment horizontal="left" vertical="top" wrapText="1"/>
    </xf>
    <xf numFmtId="0" fontId="13" fillId="0" borderId="28" xfId="0" applyFont="1" applyBorder="1" applyAlignment="1">
      <alignment horizontal="left" vertical="top" wrapText="1"/>
    </xf>
    <xf numFmtId="0" fontId="13" fillId="0" borderId="30" xfId="0" applyFont="1" applyBorder="1" applyAlignment="1">
      <alignment horizontal="left" vertical="top" wrapText="1"/>
    </xf>
    <xf numFmtId="0" fontId="13" fillId="0" borderId="31" xfId="0" applyFont="1" applyBorder="1" applyAlignment="1">
      <alignment horizontal="left" vertical="top" wrapText="1"/>
    </xf>
    <xf numFmtId="0" fontId="13" fillId="0" borderId="0" xfId="0" applyFont="1" applyBorder="1" applyAlignment="1">
      <alignment horizontal="left" vertical="top" wrapText="1"/>
    </xf>
    <xf numFmtId="0" fontId="13" fillId="0" borderId="32" xfId="0" applyFont="1" applyBorder="1" applyAlignment="1">
      <alignment horizontal="left" vertical="top" wrapText="1"/>
    </xf>
    <xf numFmtId="0" fontId="13" fillId="0" borderId="17" xfId="0" applyFont="1" applyBorder="1" applyAlignment="1">
      <alignment horizontal="left" vertical="top" wrapText="1"/>
    </xf>
    <xf numFmtId="0" fontId="13" fillId="0" borderId="29" xfId="0" applyFont="1" applyBorder="1" applyAlignment="1">
      <alignment horizontal="left" vertical="top" wrapText="1"/>
    </xf>
    <xf numFmtId="0" fontId="13" fillId="0" borderId="33" xfId="0" applyFont="1" applyBorder="1" applyAlignment="1">
      <alignment horizontal="left" vertical="top" wrapText="1"/>
    </xf>
    <xf numFmtId="0" fontId="9" fillId="0" borderId="0" xfId="0" applyFont="1" applyBorder="1" applyAlignment="1">
      <alignment horizontal="left" vertical="top" wrapText="1"/>
    </xf>
    <xf numFmtId="0" fontId="10" fillId="0" borderId="28" xfId="0" applyFont="1" applyBorder="1" applyAlignment="1">
      <alignment horizontal="center" vertical="center"/>
    </xf>
    <xf numFmtId="0" fontId="12" fillId="0" borderId="0" xfId="0" applyFont="1" applyAlignment="1">
      <alignment horizontal="center"/>
    </xf>
    <xf numFmtId="0" fontId="3" fillId="0" borderId="0" xfId="0" applyFont="1" applyAlignment="1">
      <alignment horizontal="center" vertical="top"/>
    </xf>
    <xf numFmtId="0" fontId="17" fillId="0" borderId="0" xfId="0" applyFont="1" applyBorder="1" applyAlignment="1">
      <alignment horizontal="left" vertical="top"/>
    </xf>
    <xf numFmtId="164" fontId="3" fillId="0" borderId="0" xfId="0" applyNumberFormat="1" applyFont="1" applyBorder="1" applyAlignment="1">
      <alignment horizontal="center" vertical="center"/>
    </xf>
    <xf numFmtId="0" fontId="3" fillId="0" borderId="29" xfId="0" applyFont="1" applyBorder="1" applyAlignment="1">
      <alignment horizontal="left" vertical="top"/>
    </xf>
    <xf numFmtId="0" fontId="3" fillId="0" borderId="0" xfId="0" applyFont="1" applyBorder="1" applyAlignment="1">
      <alignment horizontal="left" vertical="center" wrapText="1"/>
    </xf>
    <xf numFmtId="0" fontId="3" fillId="0" borderId="29" xfId="0" applyFont="1" applyBorder="1" applyAlignment="1">
      <alignment horizontal="left" vertical="top" wrapText="1"/>
    </xf>
    <xf numFmtId="0" fontId="16" fillId="0" borderId="0" xfId="0" applyFont="1" applyBorder="1" applyAlignment="1">
      <alignment horizontal="left" vertical="center" wrapText="1"/>
    </xf>
    <xf numFmtId="0" fontId="3" fillId="0" borderId="0" xfId="0" applyFont="1" applyBorder="1" applyAlignment="1">
      <alignment horizontal="left" vertical="top"/>
    </xf>
    <xf numFmtId="0" fontId="4" fillId="0" borderId="0" xfId="0" applyFont="1" applyBorder="1" applyAlignment="1">
      <alignment horizontal="center" vertical="center" wrapText="1"/>
    </xf>
    <xf numFmtId="0" fontId="4" fillId="0" borderId="32" xfId="0" applyFont="1" applyBorder="1" applyAlignment="1">
      <alignment horizontal="center" vertical="center"/>
    </xf>
    <xf numFmtId="0" fontId="13" fillId="0" borderId="31" xfId="0" applyFont="1" applyBorder="1" applyAlignment="1">
      <alignment horizontal="left" vertical="top"/>
    </xf>
    <xf numFmtId="0" fontId="13" fillId="0" borderId="0" xfId="0" applyFont="1" applyBorder="1" applyAlignment="1">
      <alignment horizontal="left" vertical="top"/>
    </xf>
    <xf numFmtId="0" fontId="13" fillId="0" borderId="32" xfId="0" applyFont="1" applyBorder="1" applyAlignment="1">
      <alignment horizontal="left" vertical="top"/>
    </xf>
    <xf numFmtId="0" fontId="13" fillId="0" borderId="17" xfId="0" applyFont="1" applyBorder="1" applyAlignment="1">
      <alignment horizontal="left" vertical="top"/>
    </xf>
    <xf numFmtId="0" fontId="13" fillId="0" borderId="29" xfId="0" applyFont="1" applyBorder="1" applyAlignment="1">
      <alignment horizontal="left" vertical="top"/>
    </xf>
    <xf numFmtId="0" fontId="13" fillId="0" borderId="33" xfId="0" applyFont="1" applyBorder="1" applyAlignment="1">
      <alignment horizontal="left" vertical="top"/>
    </xf>
    <xf numFmtId="0" fontId="3" fillId="0" borderId="0" xfId="0" applyFont="1" applyBorder="1" applyAlignment="1">
      <alignment horizontal="left" vertical="top" wrapText="1"/>
    </xf>
    <xf numFmtId="0" fontId="13" fillId="0" borderId="31" xfId="0" quotePrefix="1" applyFont="1" applyBorder="1" applyAlignment="1">
      <alignment horizontal="left" vertical="top" wrapText="1"/>
    </xf>
    <xf numFmtId="0" fontId="13" fillId="0" borderId="0" xfId="0" quotePrefix="1" applyFont="1" applyBorder="1" applyAlignment="1">
      <alignment horizontal="left" vertical="top" wrapText="1"/>
    </xf>
    <xf numFmtId="0" fontId="13" fillId="0" borderId="32" xfId="0" quotePrefix="1" applyFont="1" applyBorder="1" applyAlignment="1">
      <alignment horizontal="left" vertical="top" wrapText="1"/>
    </xf>
    <xf numFmtId="0" fontId="13" fillId="0" borderId="17" xfId="0" quotePrefix="1" applyFont="1" applyBorder="1" applyAlignment="1">
      <alignment horizontal="left" vertical="top" wrapText="1"/>
    </xf>
    <xf numFmtId="0" fontId="13" fillId="0" borderId="29" xfId="0" quotePrefix="1" applyFont="1" applyBorder="1" applyAlignment="1">
      <alignment horizontal="left" vertical="top" wrapText="1"/>
    </xf>
    <xf numFmtId="0" fontId="13" fillId="0" borderId="33" xfId="0" quotePrefix="1" applyFont="1" applyBorder="1" applyAlignment="1">
      <alignment horizontal="left" vertical="top" wrapText="1"/>
    </xf>
  </cellXfs>
  <cellStyles count="3">
    <cellStyle name="Normal" xfId="0" builtinId="0"/>
    <cellStyle name="Normal 2" xfId="1"/>
    <cellStyle name="Percent" xfId="2" builtinId="5"/>
  </cellStyles>
  <dxfs count="16">
    <dxf>
      <fill>
        <patternFill>
          <bgColor theme="5" tint="0.39994506668294322"/>
        </patternFill>
      </fill>
    </dxf>
    <dxf>
      <fill>
        <patternFill>
          <bgColor theme="4" tint="0.39994506668294322"/>
        </patternFill>
      </fill>
    </dxf>
    <dxf>
      <fill>
        <patternFill>
          <bgColor theme="7" tint="0.39994506668294322"/>
        </patternFill>
      </fill>
    </dxf>
    <dxf>
      <fill>
        <patternFill>
          <bgColor theme="9" tint="0.39994506668294322"/>
        </patternFill>
      </fill>
    </dxf>
    <dxf>
      <font>
        <b/>
        <i val="0"/>
        <color rgb="FFFF0000"/>
      </font>
      <fill>
        <patternFill>
          <bgColor rgb="FFFFFF00"/>
        </patternFill>
      </fill>
    </dxf>
    <dxf>
      <fill>
        <patternFill>
          <bgColor theme="5" tint="0.39994506668294322"/>
        </patternFill>
      </fill>
    </dxf>
    <dxf>
      <fill>
        <patternFill>
          <bgColor theme="4" tint="0.39994506668294322"/>
        </patternFill>
      </fill>
    </dxf>
    <dxf>
      <fill>
        <patternFill>
          <bgColor theme="7" tint="0.39994506668294322"/>
        </patternFill>
      </fill>
    </dxf>
    <dxf>
      <fill>
        <patternFill>
          <bgColor theme="9" tint="0.39994506668294322"/>
        </patternFill>
      </fill>
    </dxf>
    <dxf>
      <font>
        <b/>
        <i val="0"/>
        <color rgb="FFFF0000"/>
      </font>
      <fill>
        <patternFill>
          <bgColor rgb="FFFFFF00"/>
        </patternFill>
      </fill>
    </dxf>
    <dxf>
      <fill>
        <patternFill>
          <bgColor rgb="FFFF0000"/>
        </patternFill>
      </fill>
    </dxf>
    <dxf>
      <fill>
        <patternFill>
          <bgColor theme="5" tint="0.39994506668294322"/>
        </patternFill>
      </fill>
    </dxf>
    <dxf>
      <fill>
        <patternFill>
          <bgColor theme="4" tint="0.39994506668294322"/>
        </patternFill>
      </fill>
    </dxf>
    <dxf>
      <fill>
        <patternFill>
          <bgColor theme="7" tint="0.39994506668294322"/>
        </patternFill>
      </fill>
    </dxf>
    <dxf>
      <fill>
        <patternFill>
          <bgColor theme="9" tint="0.39994506668294322"/>
        </patternFill>
      </fill>
    </dxf>
    <dxf>
      <font>
        <b/>
        <i val="0"/>
        <color rgb="FFFF0000"/>
      </font>
      <fill>
        <patternFill>
          <bgColor rgb="FFFFFF00"/>
        </patternFill>
      </fill>
    </dxf>
  </dxfs>
  <tableStyles count="0" defaultTableStyle="TableStyleMedium2" defaultPivotStyle="PivotStyleLight16"/>
  <colors>
    <mruColors>
      <color rgb="FF0000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SHDS</a:t>
            </a:r>
          </a:p>
        </c:rich>
      </c:tx>
      <c:layout>
        <c:manualLayout>
          <c:xMode val="edge"/>
          <c:yMode val="edge"/>
          <c:x val="0.5233923778851316"/>
          <c:y val="0.1048218029350104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'Name List'!$I$10</c:f>
              <c:strCache>
                <c:ptCount val="1"/>
                <c:pt idx="0">
                  <c:v>Guideline %</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'Name List'!$J$9:$N$9</c:f>
              <c:strCache>
                <c:ptCount val="5"/>
                <c:pt idx="0">
                  <c:v>A</c:v>
                </c:pt>
                <c:pt idx="1">
                  <c:v>B</c:v>
                </c:pt>
                <c:pt idx="2">
                  <c:v>C</c:v>
                </c:pt>
                <c:pt idx="3">
                  <c:v>D</c:v>
                </c:pt>
                <c:pt idx="4">
                  <c:v>E</c:v>
                </c:pt>
              </c:strCache>
            </c:strRef>
          </c:cat>
          <c:val>
            <c:numRef>
              <c:f>'Name List'!$J$10:$N$10</c:f>
              <c:numCache>
                <c:formatCode>0%</c:formatCode>
                <c:ptCount val="5"/>
                <c:pt idx="0">
                  <c:v>0.1</c:v>
                </c:pt>
                <c:pt idx="1">
                  <c:v>0.2</c:v>
                </c:pt>
                <c:pt idx="2">
                  <c:v>0.5</c:v>
                </c:pt>
                <c:pt idx="3">
                  <c:v>0.15</c:v>
                </c:pt>
                <c:pt idx="4">
                  <c:v>0.05</c:v>
                </c:pt>
              </c:numCache>
            </c:numRef>
          </c:val>
          <c:extLst>
            <c:ext xmlns:c16="http://schemas.microsoft.com/office/drawing/2014/chart" uri="{C3380CC4-5D6E-409C-BE32-E72D297353CC}">
              <c16:uniqueId val="{00000000-DADD-4A04-94EF-5FF34E3891E0}"/>
            </c:ext>
          </c:extLst>
        </c:ser>
        <c:ser>
          <c:idx val="1"/>
          <c:order val="1"/>
          <c:tx>
            <c:strRef>
              <c:f>'Name List'!$I$11</c:f>
              <c:strCache>
                <c:ptCount val="1"/>
                <c:pt idx="0">
                  <c:v>Actual %</c:v>
                </c:pt>
              </c:strCache>
            </c:strRef>
          </c:tx>
          <c:spPr>
            <a:solidFill>
              <a:schemeClr val="accent1">
                <a:lumMod val="75000"/>
              </a:schemeClr>
            </a:solidFill>
            <a:ln>
              <a:solidFill>
                <a:schemeClr val="accen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'Name List'!$J$9:$N$9</c:f>
              <c:strCache>
                <c:ptCount val="5"/>
                <c:pt idx="0">
                  <c:v>A</c:v>
                </c:pt>
                <c:pt idx="1">
                  <c:v>B</c:v>
                </c:pt>
                <c:pt idx="2">
                  <c:v>C</c:v>
                </c:pt>
                <c:pt idx="3">
                  <c:v>D</c:v>
                </c:pt>
                <c:pt idx="4">
                  <c:v>E</c:v>
                </c:pt>
              </c:strCache>
            </c:strRef>
          </c:cat>
          <c:val>
            <c:numRef>
              <c:f>'Name List'!$J$11:$N$11</c:f>
              <c:numCache>
                <c:formatCode>0%</c:formatCode>
                <c:ptCount val="5"/>
                <c:pt idx="0">
                  <c:v>0</c:v>
                </c:pt>
                <c:pt idx="1">
                  <c:v>1</c:v>
                </c:pt>
                <c:pt idx="2">
                  <c:v>0</c:v>
                </c:pt>
                <c:pt idx="3">
                  <c:v>0</c:v>
                </c:pt>
                <c:pt idx="4">
                  <c:v>0</c:v>
                </c:pt>
              </c:numCache>
            </c:numRef>
          </c:val>
          <c:extLst>
            <c:ext xmlns:c16="http://schemas.microsoft.com/office/drawing/2014/chart" uri="{C3380CC4-5D6E-409C-BE32-E72D297353CC}">
              <c16:uniqueId val="{00000001-DADD-4A04-94EF-5FF34E3891E0}"/>
            </c:ext>
          </c:extLst>
        </c:ser>
        <c:dLbls>
          <c:dLblPos val="outEnd"/>
          <c:showLegendKey val="0"/>
          <c:showVal val="1"/>
          <c:showCatName val="0"/>
          <c:showSerName val="0"/>
          <c:showPercent val="0"/>
          <c:showBubbleSize val="0"/>
        </c:dLbls>
        <c:gapWidth val="219"/>
        <c:axId val="865712272"/>
        <c:axId val="865718832"/>
      </c:barChart>
      <c:lineChart>
        <c:grouping val="standard"/>
        <c:varyColors val="0"/>
        <c:ser>
          <c:idx val="2"/>
          <c:order val="2"/>
          <c:tx>
            <c:strRef>
              <c:f>'Name List'!$I$12</c:f>
              <c:strCache>
                <c:ptCount val="1"/>
                <c:pt idx="0">
                  <c:v>Guideline Headcount</c:v>
                </c:pt>
              </c:strCache>
            </c:strRef>
          </c:tx>
          <c:spPr>
            <a:ln w="28575" cap="rnd">
              <a:solidFill>
                <a:srgbClr val="FF00FF"/>
              </a:solidFill>
              <a:round/>
            </a:ln>
            <a:effectLst/>
          </c:spPr>
          <c:marker>
            <c:symbol val="star"/>
            <c:size val="5"/>
            <c:spPr>
              <a:solidFill>
                <a:srgbClr val="FF00FF"/>
              </a:solidFill>
              <a:ln w="9525">
                <a:solidFill>
                  <a:srgbClr val="FF00FF"/>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F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'Name List'!$J$9:$N$9</c:f>
              <c:strCache>
                <c:ptCount val="5"/>
                <c:pt idx="0">
                  <c:v>A</c:v>
                </c:pt>
                <c:pt idx="1">
                  <c:v>B</c:v>
                </c:pt>
                <c:pt idx="2">
                  <c:v>C</c:v>
                </c:pt>
                <c:pt idx="3">
                  <c:v>D</c:v>
                </c:pt>
                <c:pt idx="4">
                  <c:v>E</c:v>
                </c:pt>
              </c:strCache>
            </c:strRef>
          </c:cat>
          <c:val>
            <c:numRef>
              <c:f>'Name List'!$J$12:$N$12</c:f>
              <c:numCache>
                <c:formatCode>General</c:formatCode>
                <c:ptCount val="5"/>
                <c:pt idx="0" formatCode="0">
                  <c:v>45</c:v>
                </c:pt>
                <c:pt idx="1">
                  <c:v>90</c:v>
                </c:pt>
                <c:pt idx="2">
                  <c:v>226</c:v>
                </c:pt>
                <c:pt idx="3">
                  <c:v>68</c:v>
                </c:pt>
                <c:pt idx="4">
                  <c:v>23</c:v>
                </c:pt>
              </c:numCache>
            </c:numRef>
          </c:val>
          <c:smooth val="0"/>
          <c:extLst>
            <c:ext xmlns:c16="http://schemas.microsoft.com/office/drawing/2014/chart" uri="{C3380CC4-5D6E-409C-BE32-E72D297353CC}">
              <c16:uniqueId val="{00000002-DADD-4A04-94EF-5FF34E3891E0}"/>
            </c:ext>
          </c:extLst>
        </c:ser>
        <c:ser>
          <c:idx val="3"/>
          <c:order val="3"/>
          <c:tx>
            <c:strRef>
              <c:f>'Name List'!$I$13</c:f>
              <c:strCache>
                <c:ptCount val="1"/>
                <c:pt idx="0">
                  <c:v>Actual Headcount</c:v>
                </c:pt>
              </c:strCache>
            </c:strRef>
          </c:tx>
          <c:spPr>
            <a:ln w="28575" cap="rnd">
              <a:solidFill>
                <a:schemeClr val="accent6"/>
              </a:solidFill>
              <a:round/>
            </a:ln>
            <a:effectLst/>
          </c:spPr>
          <c:marker>
            <c:symbol val="square"/>
            <c:size val="5"/>
            <c:spPr>
              <a:solidFill>
                <a:schemeClr val="accent6">
                  <a:lumMod val="75000"/>
                </a:schemeClr>
              </a:solidFill>
              <a:ln w="9525">
                <a:solidFill>
                  <a:schemeClr val="accent6">
                    <a:lumMod val="7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'Name List'!$J$9:$N$9</c:f>
              <c:strCache>
                <c:ptCount val="5"/>
                <c:pt idx="0">
                  <c:v>A</c:v>
                </c:pt>
                <c:pt idx="1">
                  <c:v>B</c:v>
                </c:pt>
                <c:pt idx="2">
                  <c:v>C</c:v>
                </c:pt>
                <c:pt idx="3">
                  <c:v>D</c:v>
                </c:pt>
                <c:pt idx="4">
                  <c:v>E</c:v>
                </c:pt>
              </c:strCache>
            </c:strRef>
          </c:cat>
          <c:val>
            <c:numRef>
              <c:f>'Name List'!$J$13:$N$13</c:f>
              <c:numCache>
                <c:formatCode>General</c:formatCode>
                <c:ptCount val="5"/>
                <c:pt idx="0">
                  <c:v>0</c:v>
                </c:pt>
                <c:pt idx="1">
                  <c:v>1</c:v>
                </c:pt>
                <c:pt idx="2">
                  <c:v>0</c:v>
                </c:pt>
                <c:pt idx="3">
                  <c:v>0</c:v>
                </c:pt>
                <c:pt idx="4">
                  <c:v>0</c:v>
                </c:pt>
              </c:numCache>
            </c:numRef>
          </c:val>
          <c:smooth val="0"/>
          <c:extLst>
            <c:ext xmlns:c16="http://schemas.microsoft.com/office/drawing/2014/chart" uri="{C3380CC4-5D6E-409C-BE32-E72D297353CC}">
              <c16:uniqueId val="{00000003-DADD-4A04-94EF-5FF34E3891E0}"/>
            </c:ext>
          </c:extLst>
        </c:ser>
        <c:dLbls>
          <c:showLegendKey val="0"/>
          <c:showVal val="1"/>
          <c:showCatName val="0"/>
          <c:showSerName val="0"/>
          <c:showPercent val="0"/>
          <c:showBubbleSize val="0"/>
        </c:dLbls>
        <c:marker val="1"/>
        <c:smooth val="0"/>
        <c:axId val="821634480"/>
        <c:axId val="821634152"/>
      </c:lineChart>
      <c:catAx>
        <c:axId val="86571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18832"/>
        <c:crosses val="autoZero"/>
        <c:auto val="1"/>
        <c:lblAlgn val="ctr"/>
        <c:lblOffset val="100"/>
        <c:noMultiLvlLbl val="0"/>
      </c:catAx>
      <c:valAx>
        <c:axId val="8657188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12272"/>
        <c:crosses val="autoZero"/>
        <c:crossBetween val="between"/>
      </c:valAx>
      <c:valAx>
        <c:axId val="821634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634480"/>
        <c:crosses val="max"/>
        <c:crossBetween val="between"/>
      </c:valAx>
      <c:catAx>
        <c:axId val="821634480"/>
        <c:scaling>
          <c:orientation val="minMax"/>
        </c:scaling>
        <c:delete val="1"/>
        <c:axPos val="b"/>
        <c:numFmt formatCode="General" sourceLinked="1"/>
        <c:majorTickMark val="out"/>
        <c:minorTickMark val="none"/>
        <c:tickLblPos val="nextTo"/>
        <c:crossAx val="821634152"/>
        <c:crosses val="autoZero"/>
        <c:auto val="1"/>
        <c:lblAlgn val="ctr"/>
        <c:lblOffset val="100"/>
        <c:noMultiLvlLbl val="0"/>
      </c:cat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solidFill>
          <a:schemeClr val="bg1"/>
        </a:solidFill>
        <a:ln>
          <a:noFill/>
        </a:ln>
        <a:effectLst/>
      </c:spPr>
    </c:plotArea>
    <c:legend>
      <c:legendPos val="t"/>
      <c:layout>
        <c:manualLayout>
          <c:xMode val="edge"/>
          <c:yMode val="edge"/>
          <c:x val="7.9363992544410154E-3"/>
          <c:y val="2.1341719077568148E-2"/>
          <c:w val="0.79733154128680794"/>
          <c:h val="7.075521220224829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SG">
                <a:solidFill>
                  <a:sysClr val="windowText" lastClr="000000"/>
                </a:solidFill>
              </a:rPr>
              <a:t>Distribution of Scores</a:t>
            </a:r>
          </a:p>
        </c:rich>
      </c:tx>
      <c:layout>
        <c:manualLayout>
          <c:xMode val="edge"/>
          <c:yMode val="edge"/>
          <c:x val="5.6470843318498228E-2"/>
          <c:y val="3.49344978165938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093963254593177"/>
          <c:y val="0.21595342066957787"/>
          <c:w val="0.83717630948305377"/>
          <c:h val="0.6032114981260529"/>
        </c:manualLayout>
      </c:layout>
      <c:barChart>
        <c:barDir val="col"/>
        <c:grouping val="clustered"/>
        <c:varyColors val="0"/>
        <c:ser>
          <c:idx val="0"/>
          <c:order val="0"/>
          <c:tx>
            <c:strRef>
              <c:f>Score!$D$85</c:f>
              <c:strCache>
                <c:ptCount val="1"/>
                <c:pt idx="0">
                  <c:v>Guideline</c:v>
                </c:pt>
              </c:strCache>
            </c:strRef>
          </c:tx>
          <c:spPr>
            <a:solidFill>
              <a:schemeClr val="accent1">
                <a:lumMod val="50000"/>
              </a:schemeClr>
            </a:solidFill>
            <a:ln>
              <a:solidFill>
                <a:schemeClr val="tx1"/>
              </a:solidFill>
            </a:ln>
            <a:effectLst/>
          </c:spPr>
          <c:invertIfNegative val="0"/>
          <c:cat>
            <c:strRef>
              <c:f>Score!$C$87:$C$93</c:f>
              <c:strCache>
                <c:ptCount val="7"/>
                <c:pt idx="0">
                  <c:v>49 &amp; below</c:v>
                </c:pt>
                <c:pt idx="1">
                  <c:v>50-59</c:v>
                </c:pt>
                <c:pt idx="2">
                  <c:v>60-69</c:v>
                </c:pt>
                <c:pt idx="3">
                  <c:v>70-74</c:v>
                </c:pt>
                <c:pt idx="4">
                  <c:v>75-79</c:v>
                </c:pt>
                <c:pt idx="5">
                  <c:v>80-89</c:v>
                </c:pt>
                <c:pt idx="6">
                  <c:v>90-100</c:v>
                </c:pt>
              </c:strCache>
            </c:strRef>
          </c:cat>
          <c:val>
            <c:numRef>
              <c:f>Score!$D$87:$D$93</c:f>
              <c:numCache>
                <c:formatCode>General</c:formatCode>
                <c:ptCount val="7"/>
                <c:pt idx="0">
                  <c:v>8.85</c:v>
                </c:pt>
                <c:pt idx="1">
                  <c:v>8.85</c:v>
                </c:pt>
                <c:pt idx="2">
                  <c:v>17.7</c:v>
                </c:pt>
                <c:pt idx="3">
                  <c:v>44.25</c:v>
                </c:pt>
                <c:pt idx="4">
                  <c:v>44.25</c:v>
                </c:pt>
                <c:pt idx="5">
                  <c:v>35.4</c:v>
                </c:pt>
                <c:pt idx="6">
                  <c:v>17.7</c:v>
                </c:pt>
              </c:numCache>
            </c:numRef>
          </c:val>
          <c:extLst>
            <c:ext xmlns:c16="http://schemas.microsoft.com/office/drawing/2014/chart" uri="{C3380CC4-5D6E-409C-BE32-E72D297353CC}">
              <c16:uniqueId val="{00000000-3B15-4E62-B750-945EE8F4A071}"/>
            </c:ext>
          </c:extLst>
        </c:ser>
        <c:dLbls>
          <c:showLegendKey val="0"/>
          <c:showVal val="0"/>
          <c:showCatName val="0"/>
          <c:showSerName val="0"/>
          <c:showPercent val="0"/>
          <c:showBubbleSize val="0"/>
        </c:dLbls>
        <c:gapWidth val="219"/>
        <c:axId val="611575480"/>
        <c:axId val="611570888"/>
      </c:barChart>
      <c:lineChart>
        <c:grouping val="standard"/>
        <c:varyColors val="0"/>
        <c:ser>
          <c:idx val="1"/>
          <c:order val="1"/>
          <c:tx>
            <c:strRef>
              <c:f>Score!$F$85:$F$86</c:f>
              <c:strCache>
                <c:ptCount val="2"/>
                <c:pt idx="0">
                  <c:v>Actual</c:v>
                </c:pt>
                <c:pt idx="1">
                  <c:v>Num</c:v>
                </c:pt>
              </c:strCache>
            </c:strRef>
          </c:tx>
          <c:spPr>
            <a:ln w="12700" cap="rnd">
              <a:solidFill>
                <a:srgbClr val="FF00FF"/>
              </a:solidFill>
              <a:round/>
            </a:ln>
            <a:effectLst/>
          </c:spPr>
          <c:marker>
            <c:symbol val="square"/>
            <c:size val="5"/>
            <c:spPr>
              <a:solidFill>
                <a:srgbClr val="FF00FF"/>
              </a:solidFill>
              <a:ln w="9525">
                <a:noFill/>
              </a:ln>
              <a:effectLst/>
            </c:spPr>
          </c:marker>
          <c:cat>
            <c:strRef>
              <c:f>Score!$C$87:$C$93</c:f>
              <c:strCache>
                <c:ptCount val="7"/>
                <c:pt idx="0">
                  <c:v>49 &amp; below</c:v>
                </c:pt>
                <c:pt idx="1">
                  <c:v>50-59</c:v>
                </c:pt>
                <c:pt idx="2">
                  <c:v>60-69</c:v>
                </c:pt>
                <c:pt idx="3">
                  <c:v>70-74</c:v>
                </c:pt>
                <c:pt idx="4">
                  <c:v>75-79</c:v>
                </c:pt>
                <c:pt idx="5">
                  <c:v>80-89</c:v>
                </c:pt>
                <c:pt idx="6">
                  <c:v>90-100</c:v>
                </c:pt>
              </c:strCache>
            </c:strRef>
          </c:cat>
          <c:val>
            <c:numRef>
              <c:f>Score!$F$87:$F$93</c:f>
              <c:numCache>
                <c:formatCode>General</c:formatCode>
                <c:ptCount val="7"/>
                <c:pt idx="0">
                  <c:v>172</c:v>
                </c:pt>
                <c:pt idx="1">
                  <c:v>1</c:v>
                </c:pt>
                <c:pt idx="2">
                  <c:v>1</c:v>
                </c:pt>
                <c:pt idx="3">
                  <c:v>1</c:v>
                </c:pt>
                <c:pt idx="4">
                  <c:v>1</c:v>
                </c:pt>
                <c:pt idx="5">
                  <c:v>1</c:v>
                </c:pt>
                <c:pt idx="6">
                  <c:v>0</c:v>
                </c:pt>
              </c:numCache>
            </c:numRef>
          </c:val>
          <c:smooth val="0"/>
          <c:extLst>
            <c:ext xmlns:c16="http://schemas.microsoft.com/office/drawing/2014/chart" uri="{C3380CC4-5D6E-409C-BE32-E72D297353CC}">
              <c16:uniqueId val="{00000002-3B15-4E62-B750-945EE8F4A071}"/>
            </c:ext>
          </c:extLst>
        </c:ser>
        <c:dLbls>
          <c:showLegendKey val="0"/>
          <c:showVal val="0"/>
          <c:showCatName val="0"/>
          <c:showSerName val="0"/>
          <c:showPercent val="0"/>
          <c:showBubbleSize val="0"/>
        </c:dLbls>
        <c:marker val="1"/>
        <c:smooth val="0"/>
        <c:axId val="611575480"/>
        <c:axId val="611570888"/>
      </c:lineChart>
      <c:catAx>
        <c:axId val="611575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570888"/>
        <c:crosses val="autoZero"/>
        <c:auto val="1"/>
        <c:lblAlgn val="ctr"/>
        <c:lblOffset val="100"/>
        <c:noMultiLvlLbl val="0"/>
      </c:catAx>
      <c:valAx>
        <c:axId val="611570888"/>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NO of Persons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575480"/>
        <c:crosses val="autoZero"/>
        <c:crossBetween val="between"/>
      </c:valAx>
      <c:spPr>
        <a:solidFill>
          <a:schemeClr val="bg1">
            <a:lumMod val="65000"/>
          </a:schemeClr>
        </a:solidFill>
        <a:ln>
          <a:noFill/>
        </a:ln>
        <a:effectLst/>
      </c:spPr>
    </c:plotArea>
    <c:legend>
      <c:legendPos val="b"/>
      <c:layout>
        <c:manualLayout>
          <c:xMode val="edge"/>
          <c:yMode val="edge"/>
          <c:x val="0.53607189318726456"/>
          <c:y val="5.1673257000080228E-2"/>
          <c:w val="0.43800091292936211"/>
          <c:h val="9.825396279613521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drawing7.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396240</xdr:colOff>
          <xdr:row>3</xdr:row>
          <xdr:rowOff>38100</xdr:rowOff>
        </xdr:from>
        <xdr:to>
          <xdr:col>4</xdr:col>
          <xdr:colOff>335280</xdr:colOff>
          <xdr:row>4</xdr:row>
          <xdr:rowOff>213360</xdr:rowOff>
        </xdr:to>
        <xdr:sp macro="" textlink="">
          <xdr:nvSpPr>
            <xdr:cNvPr id="16394" name="Button 10"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1" i="0" u="none" strike="noStrike" baseline="0">
                  <a:solidFill>
                    <a:srgbClr val="000080"/>
                  </a:solidFill>
                  <a:latin typeface="Cambria"/>
                  <a:ea typeface="Cambria"/>
                </a:rPr>
                <a:t>ADD NAME TO PRINT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403860</xdr:colOff>
          <xdr:row>6</xdr:row>
          <xdr:rowOff>281940</xdr:rowOff>
        </xdr:from>
        <xdr:to>
          <xdr:col>4</xdr:col>
          <xdr:colOff>342900</xdr:colOff>
          <xdr:row>8</xdr:row>
          <xdr:rowOff>259080</xdr:rowOff>
        </xdr:to>
        <xdr:sp macro="" textlink="">
          <xdr:nvSpPr>
            <xdr:cNvPr id="16395" name="Button 11" hidden="1">
              <a:extLst>
                <a:ext uri="{63B3BB69-23CF-44E3-9099-C40C66FF867C}">
                  <a14:compatExt spid="_x0000_s1639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1" i="0" u="none" strike="noStrike" baseline="0">
                  <a:solidFill>
                    <a:srgbClr val="000080"/>
                  </a:solidFill>
                  <a:latin typeface="Cambria"/>
                  <a:ea typeface="Cambria"/>
                </a:rPr>
                <a:t>CLEAR ALL PRINT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0</xdr:row>
          <xdr:rowOff>175260</xdr:rowOff>
        </xdr:from>
        <xdr:to>
          <xdr:col>6</xdr:col>
          <xdr:colOff>1965960</xdr:colOff>
          <xdr:row>1</xdr:row>
          <xdr:rowOff>251460</xdr:rowOff>
        </xdr:to>
        <xdr:sp macro="" textlink="">
          <xdr:nvSpPr>
            <xdr:cNvPr id="16396" name="Button 12"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200" b="1" i="0" u="none" strike="noStrike" baseline="0">
                  <a:solidFill>
                    <a:srgbClr val="FF0000"/>
                  </a:solidFill>
                  <a:latin typeface="Cambria"/>
                  <a:ea typeface="Cambria"/>
                </a:rPr>
                <a:t>START PRINT FROM PRINT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396240</xdr:colOff>
          <xdr:row>4</xdr:row>
          <xdr:rowOff>259080</xdr:rowOff>
        </xdr:from>
        <xdr:to>
          <xdr:col>4</xdr:col>
          <xdr:colOff>335280</xdr:colOff>
          <xdr:row>6</xdr:row>
          <xdr:rowOff>243840</xdr:rowOff>
        </xdr:to>
        <xdr:sp macro="" textlink="">
          <xdr:nvSpPr>
            <xdr:cNvPr id="16398" name="Button 14"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1" i="0" u="none" strike="noStrike" baseline="0">
                  <a:solidFill>
                    <a:srgbClr val="000080"/>
                  </a:solidFill>
                  <a:latin typeface="Cambria"/>
                  <a:ea typeface="Cambria"/>
                </a:rPr>
                <a:t>ADD ALL TO PRINT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133349</xdr:colOff>
      <xdr:row>15</xdr:row>
      <xdr:rowOff>28575</xdr:rowOff>
    </xdr:from>
    <xdr:to>
      <xdr:col>19</xdr:col>
      <xdr:colOff>514350</xdr:colOff>
      <xdr:row>40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91440</xdr:colOff>
          <xdr:row>0</xdr:row>
          <xdr:rowOff>53340</xdr:rowOff>
        </xdr:from>
        <xdr:to>
          <xdr:col>0</xdr:col>
          <xdr:colOff>922020</xdr:colOff>
          <xdr:row>0</xdr:row>
          <xdr:rowOff>388620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1" i="0" u="none" strike="noStrike" baseline="0">
                  <a:solidFill>
                    <a:srgbClr val="000000"/>
                  </a:solidFill>
                  <a:latin typeface="Calibri Light"/>
                  <a:cs typeface="Calibri Light"/>
                </a:rPr>
                <a:t>REMOVE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106680</xdr:colOff>
          <xdr:row>0</xdr:row>
          <xdr:rowOff>106680</xdr:rowOff>
        </xdr:from>
        <xdr:to>
          <xdr:col>4</xdr:col>
          <xdr:colOff>937260</xdr:colOff>
          <xdr:row>0</xdr:row>
          <xdr:rowOff>784860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1" i="0" u="none" strike="noStrike" baseline="0">
                  <a:solidFill>
                    <a:srgbClr val="000000"/>
                  </a:solidFill>
                  <a:latin typeface="Calibri"/>
                  <a:cs typeface="Calibri"/>
                </a:rPr>
                <a:t>GENERATE SCORE FROM GRADE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209550</xdr:colOff>
      <xdr:row>84</xdr:row>
      <xdr:rowOff>9525</xdr:rowOff>
    </xdr:from>
    <xdr:to>
      <xdr:col>17</xdr:col>
      <xdr:colOff>400050</xdr:colOff>
      <xdr:row>95</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158750</xdr:colOff>
          <xdr:row>4</xdr:row>
          <xdr:rowOff>107950</xdr:rowOff>
        </xdr:from>
        <xdr:to>
          <xdr:col>1</xdr:col>
          <xdr:colOff>1370150</xdr:colOff>
          <xdr:row>4</xdr:row>
          <xdr:rowOff>931450</xdr:rowOff>
        </xdr:to>
        <xdr:grpSp>
          <xdr:nvGrpSpPr>
            <xdr:cNvPr id="2" name="Group 1"/>
            <xdr:cNvGrpSpPr/>
          </xdr:nvGrpSpPr>
          <xdr:grpSpPr>
            <a:xfrm>
              <a:off x="158750" y="641350"/>
              <a:ext cx="1447620" cy="823500"/>
              <a:chOff x="76200" y="482600"/>
              <a:chExt cx="1452700" cy="823500"/>
            </a:xfrm>
          </xdr:grpSpPr>
          <xdr:sp macro="" textlink="">
            <xdr:nvSpPr>
              <xdr:cNvPr id="23553" name="Button 1" hidden="1">
                <a:extLst>
                  <a:ext uri="{63B3BB69-23CF-44E3-9099-C40C66FF867C}">
                    <a14:compatExt spid="_x0000_s23553"/>
                  </a:ext>
                </a:extLst>
              </xdr:cNvPr>
              <xdr:cNvSpPr/>
            </xdr:nvSpPr>
            <xdr:spPr bwMode="auto">
              <a:xfrm>
                <a:off x="76200" y="1054100"/>
                <a:ext cx="1440000" cy="252000"/>
              </a:xfrm>
              <a:prstGeom prst="rect">
                <a:avLst/>
              </a:prstGeom>
              <a:noFill/>
              <a:ln w="9525">
                <a:miter lim="800000"/>
                <a:headEnd/>
                <a:tailEnd/>
              </a:ln>
            </xdr:spPr>
            <xdr:txBody>
              <a:bodyPr vertOverflow="clip" wrap="square" lIns="27432" tIns="22860" rIns="0" bIns="22860" anchor="ctr" upright="1"/>
              <a:lstStyle/>
              <a:p>
                <a:pPr algn="l" rtl="0">
                  <a:defRPr sz="1000"/>
                </a:pPr>
                <a:r>
                  <a:rPr lang="en-SG" sz="800" b="1" i="0" u="none" strike="noStrike" baseline="0">
                    <a:solidFill>
                      <a:srgbClr val="000000"/>
                    </a:solidFill>
                    <a:latin typeface="Calibri"/>
                    <a:cs typeface="Calibri"/>
                  </a:rPr>
                  <a:t>3. UPDATE SCORE DETAILS</a:t>
                </a:r>
              </a:p>
            </xdr:txBody>
          </xdr:sp>
          <xdr:sp macro="" textlink="">
            <xdr:nvSpPr>
              <xdr:cNvPr id="23554" name="Button 2" hidden="1">
                <a:extLst>
                  <a:ext uri="{63B3BB69-23CF-44E3-9099-C40C66FF867C}">
                    <a14:compatExt spid="_x0000_s23554"/>
                  </a:ext>
                </a:extLst>
              </xdr:cNvPr>
              <xdr:cNvSpPr/>
            </xdr:nvSpPr>
            <xdr:spPr bwMode="auto">
              <a:xfrm>
                <a:off x="88900" y="482600"/>
                <a:ext cx="1440000" cy="252000"/>
              </a:xfrm>
              <a:prstGeom prst="rect">
                <a:avLst/>
              </a:prstGeom>
              <a:noFill/>
              <a:ln w="9525">
                <a:miter lim="800000"/>
                <a:headEnd/>
                <a:tailEnd/>
              </a:ln>
            </xdr:spPr>
            <xdr:txBody>
              <a:bodyPr vertOverflow="clip" wrap="square" lIns="27432" tIns="22860" rIns="0" bIns="22860" anchor="ctr" upright="1"/>
              <a:lstStyle/>
              <a:p>
                <a:pPr algn="l" rtl="0">
                  <a:defRPr sz="1000"/>
                </a:pPr>
                <a:r>
                  <a:rPr lang="en-SG" sz="800" b="1" i="0" u="none" strike="noStrike" baseline="0">
                    <a:solidFill>
                      <a:srgbClr val="000000"/>
                    </a:solidFill>
                    <a:latin typeface="Calibri"/>
                    <a:cs typeface="Calibri"/>
                  </a:rPr>
                  <a:t>1. TRANSFER FROM NAMELIST</a:t>
                </a:r>
              </a:p>
            </xdr:txBody>
          </xdr:sp>
          <xdr:sp macro="" textlink="">
            <xdr:nvSpPr>
              <xdr:cNvPr id="23555" name="Button 3" hidden="1">
                <a:extLst>
                  <a:ext uri="{63B3BB69-23CF-44E3-9099-C40C66FF867C}">
                    <a14:compatExt spid="_x0000_s23555"/>
                  </a:ext>
                </a:extLst>
              </xdr:cNvPr>
              <xdr:cNvSpPr/>
            </xdr:nvSpPr>
            <xdr:spPr bwMode="auto">
              <a:xfrm>
                <a:off x="82550" y="762000"/>
                <a:ext cx="1440000" cy="252000"/>
              </a:xfrm>
              <a:prstGeom prst="rect">
                <a:avLst/>
              </a:prstGeom>
              <a:noFill/>
              <a:ln w="9525">
                <a:miter lim="800000"/>
                <a:headEnd/>
                <a:tailEnd/>
              </a:ln>
            </xdr:spPr>
            <xdr:txBody>
              <a:bodyPr vertOverflow="clip" wrap="square" lIns="27432" tIns="22860" rIns="0" bIns="22860" anchor="ctr" upright="1"/>
              <a:lstStyle/>
              <a:p>
                <a:pPr algn="l" rtl="0">
                  <a:defRPr sz="1000"/>
                </a:pPr>
                <a:r>
                  <a:rPr lang="en-SG" sz="800" b="1" i="0" u="none" strike="noStrike" baseline="0">
                    <a:solidFill>
                      <a:srgbClr val="000000"/>
                    </a:solidFill>
                    <a:latin typeface="Calibri"/>
                    <a:cs typeface="Calibri"/>
                  </a:rPr>
                  <a:t>2. GENERATE SCORE</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45720</xdr:rowOff>
        </xdr:from>
        <xdr:to>
          <xdr:col>1</xdr:col>
          <xdr:colOff>1104900</xdr:colOff>
          <xdr:row>2</xdr:row>
          <xdr:rowOff>213360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1" i="0" u="none" strike="noStrike" baseline="0">
                  <a:solidFill>
                    <a:srgbClr val="000000"/>
                  </a:solidFill>
                  <a:latin typeface="Calibri"/>
                  <a:cs typeface="Calibri"/>
                </a:rPr>
                <a:t>TRANSFER DATA FROM SCORE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xdr:colOff>
          <xdr:row>2</xdr:row>
          <xdr:rowOff>243840</xdr:rowOff>
        </xdr:from>
        <xdr:to>
          <xdr:col>1</xdr:col>
          <xdr:colOff>1112520</xdr:colOff>
          <xdr:row>4</xdr:row>
          <xdr:rowOff>220980</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1" i="0" u="none" strike="noStrike" baseline="0">
                  <a:solidFill>
                    <a:srgbClr val="000000"/>
                  </a:solidFill>
                  <a:latin typeface="Calibri"/>
                  <a:cs typeface="Calibri"/>
                </a:rPr>
                <a:t>GENERATE RANDOM COMMENT PHRASE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xdr:colOff>
          <xdr:row>5</xdr:row>
          <xdr:rowOff>15240</xdr:rowOff>
        </xdr:from>
        <xdr:to>
          <xdr:col>1</xdr:col>
          <xdr:colOff>1112520</xdr:colOff>
          <xdr:row>6</xdr:row>
          <xdr:rowOff>205740</xdr:rowOff>
        </xdr:to>
        <xdr:sp macro="" textlink="">
          <xdr:nvSpPr>
            <xdr:cNvPr id="29699" name="Button 3" hidden="1">
              <a:extLst>
                <a:ext uri="{63B3BB69-23CF-44E3-9099-C40C66FF867C}">
                  <a14:compatExt spid="_x0000_s296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1" i="0" u="none" strike="noStrike" baseline="0">
                  <a:solidFill>
                    <a:srgbClr val="000000"/>
                  </a:solidFill>
                  <a:latin typeface="Calibri"/>
                  <a:cs typeface="Calibri"/>
                </a:rPr>
                <a:t>GENERATE NIL FOR EMPTY 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161059</xdr:colOff>
          <xdr:row>0</xdr:row>
          <xdr:rowOff>47625</xdr:rowOff>
        </xdr:from>
        <xdr:to>
          <xdr:col>11</xdr:col>
          <xdr:colOff>513559</xdr:colOff>
          <xdr:row>58</xdr:row>
          <xdr:rowOff>158625</xdr:rowOff>
        </xdr:to>
        <xdr:pic>
          <xdr:nvPicPr>
            <xdr:cNvPr id="11" name="Picture 10"/>
            <xdr:cNvPicPr>
              <a:picLocks noChangeArrowheads="1"/>
              <a:extLst>
                <a:ext uri="{84589F7E-364E-4C9E-8A38-B11213B215E9}">
                  <a14:cameraTool cellRange="Template4!$B$2:$Q$50" spid="_x0000_s9908"/>
                </a:ext>
              </a:extLst>
            </xdr:cNvPicPr>
          </xdr:nvPicPr>
          <xdr:blipFill>
            <a:blip xmlns:r="http://schemas.openxmlformats.org/officeDocument/2006/relationships" r:embed="rId1"/>
            <a:srcRect/>
            <a:stretch>
              <a:fillRect/>
            </a:stretch>
          </xdr:blipFill>
          <xdr:spPr bwMode="auto">
            <a:xfrm>
              <a:off x="161059" y="47625"/>
              <a:ext cx="7020000" cy="11160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0</xdr:row>
          <xdr:rowOff>57150</xdr:rowOff>
        </xdr:from>
        <xdr:to>
          <xdr:col>23</xdr:col>
          <xdr:colOff>598714</xdr:colOff>
          <xdr:row>58</xdr:row>
          <xdr:rowOff>122463</xdr:rowOff>
        </xdr:to>
        <xdr:pic>
          <xdr:nvPicPr>
            <xdr:cNvPr id="5" name="Picture 4"/>
            <xdr:cNvPicPr>
              <a:picLocks noChangeAspect="1" noChangeArrowheads="1"/>
              <a:extLst>
                <a:ext uri="{84589F7E-364E-4C9E-8A38-B11213B215E9}">
                  <a14:cameraTool cellRange="Template1!$A$2:$N$53" spid="_x0000_s9909"/>
                </a:ext>
              </a:extLst>
            </xdr:cNvPicPr>
          </xdr:nvPicPr>
          <xdr:blipFill>
            <a:blip xmlns:r="http://schemas.openxmlformats.org/officeDocument/2006/relationships" r:embed="rId2"/>
            <a:srcRect/>
            <a:stretch>
              <a:fillRect/>
            </a:stretch>
          </xdr:blipFill>
          <xdr:spPr bwMode="auto">
            <a:xfrm>
              <a:off x="7481207" y="57150"/>
              <a:ext cx="7200900" cy="1111431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158462</xdr:colOff>
          <xdr:row>0</xdr:row>
          <xdr:rowOff>57149</xdr:rowOff>
        </xdr:from>
        <xdr:to>
          <xdr:col>23</xdr:col>
          <xdr:colOff>510962</xdr:colOff>
          <xdr:row>57</xdr:row>
          <xdr:rowOff>149099</xdr:rowOff>
        </xdr:to>
        <xdr:pic>
          <xdr:nvPicPr>
            <xdr:cNvPr id="4" name="Picture 3"/>
            <xdr:cNvPicPr>
              <a:picLocks noChangeArrowheads="1"/>
              <a:extLst>
                <a:ext uri="{84589F7E-364E-4C9E-8A38-B11213B215E9}">
                  <a14:cameraTool cellRange="Template3!$B$3:$P$52" spid="_x0000_s6834"/>
                </a:ext>
              </a:extLst>
            </xdr:cNvPicPr>
          </xdr:nvPicPr>
          <xdr:blipFill>
            <a:blip xmlns:r="http://schemas.openxmlformats.org/officeDocument/2006/relationships" r:embed="rId1"/>
            <a:srcRect/>
            <a:stretch>
              <a:fillRect/>
            </a:stretch>
          </xdr:blipFill>
          <xdr:spPr bwMode="auto">
            <a:xfrm>
              <a:off x="7432098" y="57149"/>
              <a:ext cx="7020000" cy="1115826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38122</xdr:rowOff>
        </xdr:from>
        <xdr:to>
          <xdr:col>11</xdr:col>
          <xdr:colOff>428700</xdr:colOff>
          <xdr:row>57</xdr:row>
          <xdr:rowOff>130072</xdr:rowOff>
        </xdr:to>
        <xdr:pic>
          <xdr:nvPicPr>
            <xdr:cNvPr id="5" name="Picture 4"/>
            <xdr:cNvPicPr>
              <a:picLocks noChangeArrowheads="1"/>
              <a:extLst>
                <a:ext uri="{84589F7E-364E-4C9E-8A38-B11213B215E9}">
                  <a14:cameraTool cellRange="Template2!$B$3:$N$52" spid="_x0000_s6835"/>
                </a:ext>
              </a:extLst>
            </xdr:cNvPicPr>
          </xdr:nvPicPr>
          <xdr:blipFill>
            <a:blip xmlns:r="http://schemas.openxmlformats.org/officeDocument/2006/relationships" r:embed="rId2"/>
            <a:srcRect/>
            <a:stretch>
              <a:fillRect/>
            </a:stretch>
          </xdr:blipFill>
          <xdr:spPr bwMode="auto">
            <a:xfrm>
              <a:off x="76200" y="38122"/>
              <a:ext cx="7020000" cy="11158268"/>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8</xdr:col>
      <xdr:colOff>190500</xdr:colOff>
      <xdr:row>8</xdr:row>
      <xdr:rowOff>81349</xdr:rowOff>
    </xdr:from>
    <xdr:to>
      <xdr:col>12</xdr:col>
      <xdr:colOff>2002155</xdr:colOff>
      <xdr:row>11</xdr:row>
      <xdr:rowOff>15240</xdr:rowOff>
    </xdr:to>
    <xdr:pic>
      <xdr:nvPicPr>
        <xdr:cNvPr id="16" name="Picture 15"/>
        <xdr:cNvPicPr>
          <a:picLocks noChangeAspect="1"/>
        </xdr:cNvPicPr>
      </xdr:nvPicPr>
      <xdr:blipFill>
        <a:blip xmlns:r="http://schemas.openxmlformats.org/officeDocument/2006/relationships" r:embed="rId1"/>
        <a:stretch>
          <a:fillRect/>
        </a:stretch>
      </xdr:blipFill>
      <xdr:spPr>
        <a:xfrm>
          <a:off x="4524375" y="2110174"/>
          <a:ext cx="3459480" cy="591116"/>
        </a:xfrm>
        <a:prstGeom prst="rect">
          <a:avLst/>
        </a:prstGeom>
      </xdr:spPr>
    </xdr:pic>
    <xdr:clientData/>
  </xdr:twoCellAnchor>
  <xdr:twoCellAnchor editAs="oneCell">
    <xdr:from>
      <xdr:col>1</xdr:col>
      <xdr:colOff>95249</xdr:colOff>
      <xdr:row>1</xdr:row>
      <xdr:rowOff>0</xdr:rowOff>
    </xdr:from>
    <xdr:to>
      <xdr:col>3</xdr:col>
      <xdr:colOff>990600</xdr:colOff>
      <xdr:row>2</xdr:row>
      <xdr:rowOff>278130</xdr:rowOff>
    </xdr:to>
    <xdr:pic>
      <xdr:nvPicPr>
        <xdr:cNvPr id="3" name="Picture 2"/>
        <xdr:cNvPicPr>
          <a:picLocks noChangeAspect="1"/>
        </xdr:cNvPicPr>
      </xdr:nvPicPr>
      <xdr:blipFill>
        <a:blip xmlns:r="http://schemas.openxmlformats.org/officeDocument/2006/relationships" r:embed="rId2"/>
        <a:stretch>
          <a:fillRect/>
        </a:stretch>
      </xdr:blipFill>
      <xdr:spPr>
        <a:xfrm>
          <a:off x="171449" y="161925"/>
          <a:ext cx="2152651" cy="6591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G10"/>
  <sheetViews>
    <sheetView showGridLines="0" workbookViewId="0">
      <pane xSplit="5" ySplit="3" topLeftCell="F4" activePane="bottomRight" state="frozen"/>
      <selection pane="topRight" activeCell="F1" sqref="F1"/>
      <selection pane="bottomLeft" activeCell="A4" sqref="A4"/>
      <selection pane="bottomRight" activeCell="H7" sqref="H7"/>
    </sheetView>
  </sheetViews>
  <sheetFormatPr defaultColWidth="9.21875" defaultRowHeight="25.05" customHeight="1" x14ac:dyDescent="0.3"/>
  <cols>
    <col min="1" max="1" width="10.5546875" style="59" customWidth="1"/>
    <col min="2" max="2" width="37.21875" style="59" customWidth="1"/>
    <col min="3" max="3" width="7.77734375" style="59" customWidth="1"/>
    <col min="4" max="6" width="9.21875" style="59"/>
    <col min="7" max="7" width="31.21875" style="62" bestFit="1" customWidth="1"/>
    <col min="8" max="16384" width="9.21875" style="59"/>
  </cols>
  <sheetData>
    <row r="1" spans="1:7" ht="25.05" customHeight="1" thickBot="1" x14ac:dyDescent="0.35">
      <c r="A1" s="60" t="s">
        <v>304</v>
      </c>
      <c r="B1" s="211" t="s">
        <v>306</v>
      </c>
    </row>
    <row r="2" spans="1:7" ht="25.05" customHeight="1" thickTop="1" x14ac:dyDescent="0.3"/>
    <row r="3" spans="1:7" ht="25.05" customHeight="1" thickBot="1" x14ac:dyDescent="0.3">
      <c r="B3" s="58" t="s">
        <v>138</v>
      </c>
      <c r="F3" s="60" t="s">
        <v>142</v>
      </c>
      <c r="G3" s="61">
        <f>COUNTA(G5:$G$1000)</f>
        <v>0</v>
      </c>
    </row>
    <row r="4" spans="1:7" ht="35.1" customHeight="1" thickBot="1" x14ac:dyDescent="0.35">
      <c r="B4" s="65" t="s">
        <v>218</v>
      </c>
      <c r="F4" s="214" t="s">
        <v>141</v>
      </c>
      <c r="G4" s="214"/>
    </row>
    <row r="6" spans="1:7" ht="25.05" customHeight="1" x14ac:dyDescent="0.25">
      <c r="B6" s="63" t="s">
        <v>139</v>
      </c>
    </row>
    <row r="7" spans="1:7" ht="25.05" customHeight="1" thickBot="1" x14ac:dyDescent="0.3">
      <c r="B7" s="66">
        <v>44378</v>
      </c>
    </row>
    <row r="8" spans="1:7" ht="25.05" customHeight="1" x14ac:dyDescent="0.25">
      <c r="B8" s="64"/>
    </row>
    <row r="9" spans="1:7" ht="25.05" customHeight="1" x14ac:dyDescent="0.25">
      <c r="B9" s="63" t="s">
        <v>140</v>
      </c>
    </row>
    <row r="10" spans="1:7" ht="25.05" customHeight="1" thickBot="1" x14ac:dyDescent="0.3">
      <c r="B10" s="66">
        <v>44742</v>
      </c>
    </row>
  </sheetData>
  <mergeCells count="1">
    <mergeCell ref="F4:G4"/>
  </mergeCells>
  <dataValidations count="1">
    <dataValidation type="list" allowBlank="1" showInputMessage="1" promptTitle="Name List" prompt="Please select a name list to generate printable appraisal form" sqref="B4">
      <formula1>NameList</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4" r:id="rId4" name="Button 10">
              <controlPr defaultSize="0" print="0" autoFill="0" autoPict="0" macro="[0]!AddtoPrintList">
                <anchor moveWithCells="1" sizeWithCells="1">
                  <from>
                    <xdr:col>2</xdr:col>
                    <xdr:colOff>396240</xdr:colOff>
                    <xdr:row>3</xdr:row>
                    <xdr:rowOff>38100</xdr:rowOff>
                  </from>
                  <to>
                    <xdr:col>4</xdr:col>
                    <xdr:colOff>335280</xdr:colOff>
                    <xdr:row>4</xdr:row>
                    <xdr:rowOff>213360</xdr:rowOff>
                  </to>
                </anchor>
              </controlPr>
            </control>
          </mc:Choice>
        </mc:AlternateContent>
        <mc:AlternateContent xmlns:mc="http://schemas.openxmlformats.org/markup-compatibility/2006">
          <mc:Choice Requires="x14">
            <control shapeId="16395" r:id="rId5" name="Button 11">
              <controlPr defaultSize="0" print="0" autoFill="0" autoPict="0" macro="[0]!ClearallPrintList">
                <anchor moveWithCells="1" sizeWithCells="1">
                  <from>
                    <xdr:col>2</xdr:col>
                    <xdr:colOff>403860</xdr:colOff>
                    <xdr:row>6</xdr:row>
                    <xdr:rowOff>281940</xdr:rowOff>
                  </from>
                  <to>
                    <xdr:col>4</xdr:col>
                    <xdr:colOff>342900</xdr:colOff>
                    <xdr:row>8</xdr:row>
                    <xdr:rowOff>259080</xdr:rowOff>
                  </to>
                </anchor>
              </controlPr>
            </control>
          </mc:Choice>
        </mc:AlternateContent>
        <mc:AlternateContent xmlns:mc="http://schemas.openxmlformats.org/markup-compatibility/2006">
          <mc:Choice Requires="x14">
            <control shapeId="16396" r:id="rId6" name="Button 12">
              <controlPr defaultSize="0" print="0" autoFill="0" autoPict="0" macro="[0]!PrintAll">
                <anchor moveWithCells="1" sizeWithCells="1">
                  <from>
                    <xdr:col>5</xdr:col>
                    <xdr:colOff>99060</xdr:colOff>
                    <xdr:row>0</xdr:row>
                    <xdr:rowOff>175260</xdr:rowOff>
                  </from>
                  <to>
                    <xdr:col>6</xdr:col>
                    <xdr:colOff>1965960</xdr:colOff>
                    <xdr:row>1</xdr:row>
                    <xdr:rowOff>251460</xdr:rowOff>
                  </to>
                </anchor>
              </controlPr>
            </control>
          </mc:Choice>
        </mc:AlternateContent>
        <mc:AlternateContent xmlns:mc="http://schemas.openxmlformats.org/markup-compatibility/2006">
          <mc:Choice Requires="x14">
            <control shapeId="16398" r:id="rId7" name="Button 14">
              <controlPr defaultSize="0" print="0" autoFill="0" autoPict="0" macro="[0]!AddalltoPrintList">
                <anchor moveWithCells="1" sizeWithCells="1">
                  <from>
                    <xdr:col>2</xdr:col>
                    <xdr:colOff>396240</xdr:colOff>
                    <xdr:row>4</xdr:row>
                    <xdr:rowOff>259080</xdr:rowOff>
                  </from>
                  <to>
                    <xdr:col>4</xdr:col>
                    <xdr:colOff>335280</xdr:colOff>
                    <xdr:row>6</xdr:row>
                    <xdr:rowOff>243840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715"/>
  <sheetViews>
    <sheetView tabSelected="1" zoomScale="85" zoomScaleNormal="85" workbookViewId="0">
      <pane xSplit="2" ySplit="2" topLeftCell="C3" activePane="bottomRight" state="frozen"/>
      <selection pane="topRight" activeCell="C1" sqref="C1"/>
      <selection pane="bottomLeft" activeCell="A3" sqref="A3"/>
      <selection pane="bottomRight" activeCell="F13" sqref="F13"/>
    </sheetView>
  </sheetViews>
  <sheetFormatPr defaultColWidth="9.21875" defaultRowHeight="13.2" x14ac:dyDescent="0.3"/>
  <cols>
    <col min="1" max="1" width="14.21875" style="73" bestFit="1" customWidth="1"/>
    <col min="2" max="2" width="31.21875" style="73" bestFit="1" customWidth="1"/>
    <col min="3" max="3" width="16.77734375" style="73" customWidth="1"/>
    <col min="4" max="4" width="12.21875" style="73" customWidth="1"/>
    <col min="5" max="5" width="14.77734375" style="71" bestFit="1" customWidth="1"/>
    <col min="6" max="8" width="9.21875" style="73"/>
    <col min="9" max="9" width="17.77734375" style="73" bestFit="1" customWidth="1"/>
    <col min="10" max="17" width="9.21875" style="73"/>
    <col min="18" max="18" width="12.77734375" style="73" bestFit="1" customWidth="1"/>
    <col min="19" max="16384" width="9.21875" style="73"/>
  </cols>
  <sheetData>
    <row r="1" spans="1:19" ht="72.75" customHeight="1" x14ac:dyDescent="0.25">
      <c r="D1" s="104"/>
      <c r="E1" s="70"/>
    </row>
    <row r="2" spans="1:19" s="71" customFormat="1" ht="36.75" customHeight="1" thickBot="1" x14ac:dyDescent="0.35">
      <c r="A2" s="67" t="s">
        <v>0</v>
      </c>
      <c r="B2" s="67" t="s">
        <v>1</v>
      </c>
      <c r="C2" s="68" t="s">
        <v>143</v>
      </c>
      <c r="D2" s="69" t="s">
        <v>299</v>
      </c>
      <c r="E2" s="105" t="s">
        <v>298</v>
      </c>
    </row>
    <row r="3" spans="1:19" x14ac:dyDescent="0.3">
      <c r="A3" s="99" t="s">
        <v>307</v>
      </c>
      <c r="B3" s="99" t="s">
        <v>231</v>
      </c>
      <c r="C3" s="100" t="s">
        <v>308</v>
      </c>
      <c r="D3" s="99">
        <v>86</v>
      </c>
      <c r="E3" s="99">
        <v>4</v>
      </c>
      <c r="I3" s="74"/>
      <c r="J3" s="75">
        <v>5</v>
      </c>
      <c r="K3" s="76">
        <v>4</v>
      </c>
      <c r="L3" s="76">
        <v>3</v>
      </c>
      <c r="M3" s="76">
        <v>2</v>
      </c>
      <c r="N3" s="77">
        <v>1</v>
      </c>
      <c r="O3" s="74"/>
      <c r="P3" s="73" t="s">
        <v>149</v>
      </c>
      <c r="Q3" s="72">
        <v>5</v>
      </c>
      <c r="R3" s="72" t="s">
        <v>62</v>
      </c>
      <c r="S3" s="72">
        <v>90</v>
      </c>
    </row>
    <row r="4" spans="1:19" ht="13.8" thickBot="1" x14ac:dyDescent="0.35">
      <c r="A4" s="99" t="s">
        <v>309</v>
      </c>
      <c r="B4" s="99" t="s">
        <v>228</v>
      </c>
      <c r="C4" s="100" t="s">
        <v>308</v>
      </c>
      <c r="D4" s="99">
        <v>0</v>
      </c>
      <c r="E4" s="99"/>
      <c r="I4" s="79" t="s">
        <v>144</v>
      </c>
      <c r="J4" s="80">
        <v>0.1</v>
      </c>
      <c r="K4" s="81">
        <v>0.2</v>
      </c>
      <c r="L4" s="81">
        <v>0.5</v>
      </c>
      <c r="M4" s="81">
        <v>0.15</v>
      </c>
      <c r="N4" s="82">
        <v>0.05</v>
      </c>
      <c r="O4" s="79" t="s">
        <v>145</v>
      </c>
      <c r="P4" s="73" t="s">
        <v>150</v>
      </c>
      <c r="Q4" s="72">
        <v>4</v>
      </c>
      <c r="R4" s="72" t="s">
        <v>61</v>
      </c>
      <c r="S4" s="72">
        <v>80</v>
      </c>
    </row>
    <row r="5" spans="1:19" x14ac:dyDescent="0.3">
      <c r="A5" s="99" t="s">
        <v>310</v>
      </c>
      <c r="B5" s="99" t="s">
        <v>237</v>
      </c>
      <c r="C5" s="100" t="s">
        <v>308</v>
      </c>
      <c r="D5" s="99">
        <v>0</v>
      </c>
      <c r="E5" s="99"/>
      <c r="I5" s="83" t="s">
        <v>146</v>
      </c>
      <c r="J5" s="84">
        <f>ROUND(($O$5*J4),0)</f>
        <v>45</v>
      </c>
      <c r="K5" s="84">
        <f t="shared" ref="K5:N5" si="0">ROUND(($O$5*K4),0)</f>
        <v>90</v>
      </c>
      <c r="L5" s="84">
        <f t="shared" si="0"/>
        <v>226</v>
      </c>
      <c r="M5" s="84">
        <f t="shared" si="0"/>
        <v>68</v>
      </c>
      <c r="N5" s="84">
        <f t="shared" si="0"/>
        <v>23</v>
      </c>
      <c r="O5" s="85">
        <f>COUNTA($B$3:$B$1000)</f>
        <v>451</v>
      </c>
      <c r="P5" s="73" t="s">
        <v>151</v>
      </c>
      <c r="Q5" s="72">
        <v>3</v>
      </c>
      <c r="R5" s="72" t="s">
        <v>60</v>
      </c>
      <c r="S5" s="72">
        <v>70</v>
      </c>
    </row>
    <row r="6" spans="1:19" x14ac:dyDescent="0.3">
      <c r="A6" s="99" t="s">
        <v>311</v>
      </c>
      <c r="B6" s="99" t="s">
        <v>218</v>
      </c>
      <c r="C6" s="100" t="s">
        <v>308</v>
      </c>
      <c r="D6" s="99">
        <v>0</v>
      </c>
      <c r="E6" s="99"/>
      <c r="I6" s="86" t="s">
        <v>147</v>
      </c>
      <c r="J6" s="78">
        <f>COUNTIF($E$3:$E$1000,J$3)</f>
        <v>0</v>
      </c>
      <c r="K6" s="78">
        <f t="shared" ref="K6:N6" si="1">COUNTIF($E$3:$E$1000,K$3)</f>
        <v>1</v>
      </c>
      <c r="L6" s="78">
        <f t="shared" si="1"/>
        <v>0</v>
      </c>
      <c r="M6" s="78">
        <f t="shared" si="1"/>
        <v>0</v>
      </c>
      <c r="N6" s="78">
        <f t="shared" si="1"/>
        <v>0</v>
      </c>
      <c r="O6" s="87">
        <f>SUM(J6:N6)</f>
        <v>1</v>
      </c>
      <c r="P6" s="73" t="s">
        <v>152</v>
      </c>
      <c r="Q6" s="72">
        <v>2</v>
      </c>
      <c r="R6" s="72" t="s">
        <v>59</v>
      </c>
      <c r="S6" s="72">
        <v>50</v>
      </c>
    </row>
    <row r="7" spans="1:19" ht="13.8" thickBot="1" x14ac:dyDescent="0.35">
      <c r="A7" s="99" t="s">
        <v>312</v>
      </c>
      <c r="B7" s="99" t="s">
        <v>224</v>
      </c>
      <c r="C7" s="100" t="s">
        <v>308</v>
      </c>
      <c r="D7" s="99">
        <v>0</v>
      </c>
      <c r="E7" s="99"/>
      <c r="I7" s="88" t="s">
        <v>148</v>
      </c>
      <c r="J7" s="89">
        <f>J6/$O$6</f>
        <v>0</v>
      </c>
      <c r="K7" s="89">
        <f t="shared" ref="K7:N7" si="2">K6/$O$6</f>
        <v>1</v>
      </c>
      <c r="L7" s="89">
        <f t="shared" si="2"/>
        <v>0</v>
      </c>
      <c r="M7" s="89">
        <f t="shared" si="2"/>
        <v>0</v>
      </c>
      <c r="N7" s="89">
        <f t="shared" si="2"/>
        <v>0</v>
      </c>
      <c r="O7" s="90">
        <f>SUM(J7:N7)</f>
        <v>1</v>
      </c>
      <c r="P7" s="73" t="s">
        <v>153</v>
      </c>
      <c r="Q7" s="72">
        <v>1</v>
      </c>
      <c r="R7" s="72" t="s">
        <v>58</v>
      </c>
      <c r="S7" s="72">
        <v>49</v>
      </c>
    </row>
    <row r="8" spans="1:19" ht="13.8" thickBot="1" x14ac:dyDescent="0.35">
      <c r="A8" s="99" t="s">
        <v>313</v>
      </c>
      <c r="B8" s="99" t="s">
        <v>161</v>
      </c>
      <c r="C8" s="100" t="s">
        <v>308</v>
      </c>
      <c r="D8" s="99">
        <v>0</v>
      </c>
      <c r="E8" s="99"/>
    </row>
    <row r="9" spans="1:19" x14ac:dyDescent="0.3">
      <c r="A9" s="99" t="s">
        <v>314</v>
      </c>
      <c r="B9" s="99" t="s">
        <v>315</v>
      </c>
      <c r="C9" s="100" t="s">
        <v>308</v>
      </c>
      <c r="D9" s="99">
        <v>0</v>
      </c>
      <c r="E9" s="99"/>
      <c r="I9" s="74"/>
      <c r="J9" s="75" t="s">
        <v>149</v>
      </c>
      <c r="K9" s="76" t="s">
        <v>150</v>
      </c>
      <c r="L9" s="76" t="s">
        <v>151</v>
      </c>
      <c r="M9" s="76" t="s">
        <v>152</v>
      </c>
      <c r="N9" s="77" t="s">
        <v>153</v>
      </c>
      <c r="O9" s="74"/>
    </row>
    <row r="10" spans="1:19" ht="13.8" thickBot="1" x14ac:dyDescent="0.35">
      <c r="A10" s="99" t="s">
        <v>316</v>
      </c>
      <c r="B10" s="99" t="s">
        <v>225</v>
      </c>
      <c r="C10" s="100" t="s">
        <v>308</v>
      </c>
      <c r="D10" s="99">
        <v>0</v>
      </c>
      <c r="E10" s="99"/>
      <c r="I10" s="79" t="s">
        <v>154</v>
      </c>
      <c r="J10" s="80">
        <v>0.1</v>
      </c>
      <c r="K10" s="81">
        <v>0.2</v>
      </c>
      <c r="L10" s="81">
        <v>0.5</v>
      </c>
      <c r="M10" s="81">
        <v>0.15</v>
      </c>
      <c r="N10" s="82">
        <v>0.05</v>
      </c>
      <c r="O10" s="79" t="s">
        <v>145</v>
      </c>
    </row>
    <row r="11" spans="1:19" x14ac:dyDescent="0.3">
      <c r="A11" s="99" t="s">
        <v>317</v>
      </c>
      <c r="B11" s="99" t="s">
        <v>219</v>
      </c>
      <c r="C11" s="100" t="s">
        <v>308</v>
      </c>
      <c r="D11" s="99">
        <v>0</v>
      </c>
      <c r="E11" s="99"/>
      <c r="I11" s="83" t="s">
        <v>148</v>
      </c>
      <c r="J11" s="91">
        <f>J7</f>
        <v>0</v>
      </c>
      <c r="K11" s="91">
        <f t="shared" ref="K11:N11" si="3">K7</f>
        <v>1</v>
      </c>
      <c r="L11" s="91">
        <f t="shared" si="3"/>
        <v>0</v>
      </c>
      <c r="M11" s="91">
        <f t="shared" si="3"/>
        <v>0</v>
      </c>
      <c r="N11" s="91">
        <f t="shared" si="3"/>
        <v>0</v>
      </c>
      <c r="O11" s="92">
        <f>SUM(J11:N11)</f>
        <v>1</v>
      </c>
    </row>
    <row r="12" spans="1:19" x14ac:dyDescent="0.3">
      <c r="A12" s="99" t="s">
        <v>318</v>
      </c>
      <c r="B12" s="99" t="s">
        <v>262</v>
      </c>
      <c r="C12" s="100" t="s">
        <v>308</v>
      </c>
      <c r="D12" s="99">
        <v>0</v>
      </c>
      <c r="E12" s="99"/>
      <c r="I12" s="86" t="s">
        <v>155</v>
      </c>
      <c r="J12" s="93">
        <f>J5</f>
        <v>45</v>
      </c>
      <c r="K12" s="78">
        <f t="shared" ref="K12:N12" si="4">K5</f>
        <v>90</v>
      </c>
      <c r="L12" s="78">
        <f t="shared" si="4"/>
        <v>226</v>
      </c>
      <c r="M12" s="78">
        <f t="shared" si="4"/>
        <v>68</v>
      </c>
      <c r="N12" s="78">
        <f t="shared" si="4"/>
        <v>23</v>
      </c>
      <c r="O12" s="106">
        <f>COUNTA($B$3:$B$1000)</f>
        <v>451</v>
      </c>
    </row>
    <row r="13" spans="1:19" x14ac:dyDescent="0.3">
      <c r="A13" s="99" t="s">
        <v>319</v>
      </c>
      <c r="B13" s="99" t="s">
        <v>162</v>
      </c>
      <c r="C13" s="100" t="s">
        <v>308</v>
      </c>
      <c r="D13" s="99">
        <v>0</v>
      </c>
      <c r="E13" s="99"/>
      <c r="I13" s="86" t="s">
        <v>156</v>
      </c>
      <c r="J13" s="78">
        <f>J6</f>
        <v>0</v>
      </c>
      <c r="K13" s="78">
        <f t="shared" ref="K13:N13" si="5">K6</f>
        <v>1</v>
      </c>
      <c r="L13" s="78">
        <f t="shared" si="5"/>
        <v>0</v>
      </c>
      <c r="M13" s="78">
        <f t="shared" si="5"/>
        <v>0</v>
      </c>
      <c r="N13" s="78">
        <f t="shared" si="5"/>
        <v>0</v>
      </c>
      <c r="O13" s="106">
        <f>SUM(J13:N13)</f>
        <v>1</v>
      </c>
    </row>
    <row r="14" spans="1:19" ht="13.8" thickBot="1" x14ac:dyDescent="0.35">
      <c r="A14" s="99" t="s">
        <v>320</v>
      </c>
      <c r="B14" s="99" t="s">
        <v>165</v>
      </c>
      <c r="C14" s="100" t="s">
        <v>308</v>
      </c>
      <c r="D14" s="99">
        <v>0</v>
      </c>
      <c r="E14" s="99"/>
      <c r="I14" s="88" t="s">
        <v>157</v>
      </c>
      <c r="J14" s="94">
        <f>J12-J13</f>
        <v>45</v>
      </c>
      <c r="K14" s="94">
        <f t="shared" ref="K14:N14" si="6">K12-K13</f>
        <v>89</v>
      </c>
      <c r="L14" s="94">
        <f t="shared" si="6"/>
        <v>226</v>
      </c>
      <c r="M14" s="94">
        <f t="shared" si="6"/>
        <v>68</v>
      </c>
      <c r="N14" s="94">
        <f t="shared" si="6"/>
        <v>23</v>
      </c>
      <c r="O14" s="107">
        <f>SUM(J14:N14)</f>
        <v>451</v>
      </c>
    </row>
    <row r="15" spans="1:19" x14ac:dyDescent="0.3">
      <c r="A15" s="99" t="s">
        <v>321</v>
      </c>
      <c r="B15" s="99" t="s">
        <v>166</v>
      </c>
      <c r="C15" s="100" t="s">
        <v>308</v>
      </c>
      <c r="D15" s="99">
        <v>0</v>
      </c>
      <c r="E15" s="99"/>
    </row>
    <row r="16" spans="1:19" x14ac:dyDescent="0.3">
      <c r="A16" s="99" t="s">
        <v>322</v>
      </c>
      <c r="B16" s="99" t="s">
        <v>167</v>
      </c>
      <c r="C16" s="100" t="s">
        <v>308</v>
      </c>
      <c r="D16" s="99">
        <v>0</v>
      </c>
      <c r="E16" s="99"/>
    </row>
    <row r="17" spans="1:5" x14ac:dyDescent="0.3">
      <c r="A17" s="99" t="s">
        <v>323</v>
      </c>
      <c r="B17" s="99" t="s">
        <v>163</v>
      </c>
      <c r="C17" s="100" t="s">
        <v>308</v>
      </c>
      <c r="D17" s="99">
        <v>0</v>
      </c>
      <c r="E17" s="99"/>
    </row>
    <row r="18" spans="1:5" x14ac:dyDescent="0.3">
      <c r="A18" s="99" t="s">
        <v>324</v>
      </c>
      <c r="B18" s="99" t="s">
        <v>164</v>
      </c>
      <c r="C18" s="100" t="s">
        <v>308</v>
      </c>
      <c r="D18" s="99">
        <v>0</v>
      </c>
      <c r="E18" s="99"/>
    </row>
    <row r="19" spans="1:5" x14ac:dyDescent="0.3">
      <c r="A19" s="99" t="s">
        <v>325</v>
      </c>
      <c r="B19" s="99" t="s">
        <v>269</v>
      </c>
      <c r="C19" s="100" t="s">
        <v>308</v>
      </c>
      <c r="D19" s="99">
        <v>0</v>
      </c>
      <c r="E19" s="99"/>
    </row>
    <row r="20" spans="1:5" x14ac:dyDescent="0.3">
      <c r="A20" s="99" t="s">
        <v>326</v>
      </c>
      <c r="B20" s="99" t="s">
        <v>257</v>
      </c>
      <c r="C20" s="100" t="s">
        <v>308</v>
      </c>
      <c r="D20" s="99">
        <v>0</v>
      </c>
      <c r="E20" s="99"/>
    </row>
    <row r="21" spans="1:5" x14ac:dyDescent="0.3">
      <c r="A21" s="99" t="s">
        <v>327</v>
      </c>
      <c r="B21" s="99" t="s">
        <v>274</v>
      </c>
      <c r="C21" s="100" t="s">
        <v>308</v>
      </c>
      <c r="D21" s="99">
        <v>0</v>
      </c>
      <c r="E21" s="99"/>
    </row>
    <row r="22" spans="1:5" x14ac:dyDescent="0.3">
      <c r="A22" s="99" t="s">
        <v>328</v>
      </c>
      <c r="B22" s="99" t="s">
        <v>272</v>
      </c>
      <c r="C22" s="100" t="s">
        <v>308</v>
      </c>
      <c r="D22" s="99">
        <v>0</v>
      </c>
      <c r="E22" s="99"/>
    </row>
    <row r="23" spans="1:5" x14ac:dyDescent="0.3">
      <c r="A23" s="99" t="s">
        <v>329</v>
      </c>
      <c r="B23" s="99" t="s">
        <v>263</v>
      </c>
      <c r="C23" s="100" t="s">
        <v>308</v>
      </c>
      <c r="D23" s="99">
        <v>0</v>
      </c>
      <c r="E23" s="99"/>
    </row>
    <row r="24" spans="1:5" x14ac:dyDescent="0.3">
      <c r="A24" s="99" t="s">
        <v>330</v>
      </c>
      <c r="B24" s="99" t="s">
        <v>296</v>
      </c>
      <c r="C24" s="100" t="s">
        <v>308</v>
      </c>
      <c r="D24" s="99">
        <v>0</v>
      </c>
      <c r="E24" s="99"/>
    </row>
    <row r="25" spans="1:5" x14ac:dyDescent="0.3">
      <c r="A25" s="99" t="s">
        <v>331</v>
      </c>
      <c r="B25" s="99" t="s">
        <v>160</v>
      </c>
      <c r="C25" s="100" t="s">
        <v>308</v>
      </c>
      <c r="D25" s="99">
        <v>0</v>
      </c>
      <c r="E25" s="99"/>
    </row>
    <row r="26" spans="1:5" x14ac:dyDescent="0.3">
      <c r="A26" s="99" t="s">
        <v>332</v>
      </c>
      <c r="B26" s="99" t="s">
        <v>275</v>
      </c>
      <c r="C26" s="100" t="s">
        <v>308</v>
      </c>
      <c r="D26" s="99">
        <v>0</v>
      </c>
      <c r="E26" s="99"/>
    </row>
    <row r="27" spans="1:5" x14ac:dyDescent="0.3">
      <c r="A27" s="99" t="s">
        <v>333</v>
      </c>
      <c r="B27" s="99" t="s">
        <v>232</v>
      </c>
      <c r="C27" s="100" t="s">
        <v>308</v>
      </c>
      <c r="D27" s="99">
        <v>0</v>
      </c>
      <c r="E27" s="99"/>
    </row>
    <row r="28" spans="1:5" x14ac:dyDescent="0.3">
      <c r="A28" s="99" t="s">
        <v>334</v>
      </c>
      <c r="B28" s="99" t="s">
        <v>249</v>
      </c>
      <c r="C28" s="100" t="s">
        <v>308</v>
      </c>
      <c r="D28" s="99">
        <v>0</v>
      </c>
      <c r="E28" s="99"/>
    </row>
    <row r="29" spans="1:5" x14ac:dyDescent="0.3">
      <c r="A29" s="99" t="s">
        <v>335</v>
      </c>
      <c r="B29" s="99" t="s">
        <v>247</v>
      </c>
      <c r="C29" s="100" t="s">
        <v>308</v>
      </c>
      <c r="D29" s="99">
        <v>0</v>
      </c>
      <c r="E29" s="99"/>
    </row>
    <row r="30" spans="1:5" x14ac:dyDescent="0.3">
      <c r="A30" s="99" t="s">
        <v>336</v>
      </c>
      <c r="B30" s="99" t="s">
        <v>248</v>
      </c>
      <c r="C30" s="100" t="s">
        <v>308</v>
      </c>
      <c r="D30" s="99">
        <v>0</v>
      </c>
      <c r="E30" s="99"/>
    </row>
    <row r="31" spans="1:5" x14ac:dyDescent="0.3">
      <c r="A31" s="99" t="s">
        <v>337</v>
      </c>
      <c r="B31" s="99" t="s">
        <v>221</v>
      </c>
      <c r="C31" s="100" t="s">
        <v>308</v>
      </c>
      <c r="D31" s="99">
        <v>0</v>
      </c>
      <c r="E31" s="99"/>
    </row>
    <row r="32" spans="1:5" x14ac:dyDescent="0.3">
      <c r="A32" s="99" t="s">
        <v>338</v>
      </c>
      <c r="B32" s="99" t="s">
        <v>250</v>
      </c>
      <c r="C32" s="100" t="s">
        <v>308</v>
      </c>
      <c r="D32" s="99">
        <v>0</v>
      </c>
      <c r="E32" s="99"/>
    </row>
    <row r="33" spans="1:5" x14ac:dyDescent="0.3">
      <c r="A33" s="99" t="s">
        <v>339</v>
      </c>
      <c r="B33" s="99" t="s">
        <v>268</v>
      </c>
      <c r="C33" s="100" t="s">
        <v>308</v>
      </c>
      <c r="D33" s="99">
        <v>0</v>
      </c>
      <c r="E33" s="99"/>
    </row>
    <row r="34" spans="1:5" x14ac:dyDescent="0.3">
      <c r="A34" s="99" t="s">
        <v>340</v>
      </c>
      <c r="B34" s="99" t="s">
        <v>270</v>
      </c>
      <c r="C34" s="100" t="s">
        <v>308</v>
      </c>
      <c r="D34" s="99">
        <v>0</v>
      </c>
      <c r="E34" s="99"/>
    </row>
    <row r="35" spans="1:5" x14ac:dyDescent="0.3">
      <c r="A35" s="99" t="s">
        <v>341</v>
      </c>
      <c r="B35" s="99" t="s">
        <v>276</v>
      </c>
      <c r="C35" s="100" t="s">
        <v>308</v>
      </c>
      <c r="D35" s="99">
        <v>0</v>
      </c>
      <c r="E35" s="99"/>
    </row>
    <row r="36" spans="1:5" x14ac:dyDescent="0.3">
      <c r="A36" s="99" t="s">
        <v>342</v>
      </c>
      <c r="B36" s="99" t="s">
        <v>281</v>
      </c>
      <c r="C36" s="100" t="s">
        <v>308</v>
      </c>
      <c r="D36" s="99">
        <v>0</v>
      </c>
      <c r="E36" s="99"/>
    </row>
    <row r="37" spans="1:5" x14ac:dyDescent="0.3">
      <c r="A37" s="99" t="s">
        <v>343</v>
      </c>
      <c r="B37" s="99" t="s">
        <v>280</v>
      </c>
      <c r="C37" s="100" t="s">
        <v>308</v>
      </c>
      <c r="D37" s="99">
        <v>0</v>
      </c>
      <c r="E37" s="99"/>
    </row>
    <row r="38" spans="1:5" x14ac:dyDescent="0.3">
      <c r="A38" s="99" t="s">
        <v>344</v>
      </c>
      <c r="B38" s="99" t="s">
        <v>279</v>
      </c>
      <c r="C38" s="100" t="s">
        <v>308</v>
      </c>
      <c r="D38" s="99">
        <v>0</v>
      </c>
      <c r="E38" s="99"/>
    </row>
    <row r="39" spans="1:5" x14ac:dyDescent="0.3">
      <c r="A39" s="99" t="s">
        <v>345</v>
      </c>
      <c r="B39" s="99" t="s">
        <v>260</v>
      </c>
      <c r="C39" s="100" t="s">
        <v>308</v>
      </c>
      <c r="D39" s="99">
        <v>0</v>
      </c>
      <c r="E39" s="99"/>
    </row>
    <row r="40" spans="1:5" x14ac:dyDescent="0.3">
      <c r="A40" s="99" t="s">
        <v>346</v>
      </c>
      <c r="B40" s="99" t="s">
        <v>266</v>
      </c>
      <c r="C40" s="100" t="s">
        <v>308</v>
      </c>
      <c r="D40" s="99">
        <v>0</v>
      </c>
      <c r="E40" s="99"/>
    </row>
    <row r="41" spans="1:5" x14ac:dyDescent="0.3">
      <c r="A41" s="99" t="s">
        <v>347</v>
      </c>
      <c r="B41" s="99" t="s">
        <v>278</v>
      </c>
      <c r="C41" s="100" t="s">
        <v>308</v>
      </c>
      <c r="D41" s="99">
        <v>0</v>
      </c>
      <c r="E41" s="99"/>
    </row>
    <row r="42" spans="1:5" x14ac:dyDescent="0.3">
      <c r="A42" s="99" t="s">
        <v>348</v>
      </c>
      <c r="B42" s="99" t="s">
        <v>265</v>
      </c>
      <c r="C42" s="100" t="s">
        <v>308</v>
      </c>
      <c r="D42" s="99">
        <v>0</v>
      </c>
      <c r="E42" s="99"/>
    </row>
    <row r="43" spans="1:5" x14ac:dyDescent="0.3">
      <c r="A43" s="99" t="s">
        <v>349</v>
      </c>
      <c r="B43" s="99" t="s">
        <v>277</v>
      </c>
      <c r="C43" s="100" t="s">
        <v>308</v>
      </c>
      <c r="D43" s="99">
        <v>0</v>
      </c>
      <c r="E43" s="99"/>
    </row>
    <row r="44" spans="1:5" x14ac:dyDescent="0.3">
      <c r="A44" s="99" t="s">
        <v>350</v>
      </c>
      <c r="B44" s="99" t="s">
        <v>261</v>
      </c>
      <c r="C44" s="100" t="s">
        <v>308</v>
      </c>
      <c r="D44" s="99">
        <v>0</v>
      </c>
      <c r="E44" s="99"/>
    </row>
    <row r="45" spans="1:5" x14ac:dyDescent="0.3">
      <c r="A45" s="99" t="s">
        <v>351</v>
      </c>
      <c r="B45" s="99" t="s">
        <v>352</v>
      </c>
      <c r="C45" s="100" t="s">
        <v>353</v>
      </c>
      <c r="D45" s="99">
        <v>0</v>
      </c>
      <c r="E45" s="99"/>
    </row>
    <row r="46" spans="1:5" x14ac:dyDescent="0.3">
      <c r="A46" s="99" t="s">
        <v>354</v>
      </c>
      <c r="B46" s="99" t="s">
        <v>355</v>
      </c>
      <c r="C46" s="100" t="s">
        <v>353</v>
      </c>
      <c r="D46" s="99">
        <v>0</v>
      </c>
      <c r="E46" s="99"/>
    </row>
    <row r="47" spans="1:5" x14ac:dyDescent="0.3">
      <c r="A47" s="99" t="s">
        <v>356</v>
      </c>
      <c r="B47" s="99" t="s">
        <v>357</v>
      </c>
      <c r="C47" s="100" t="s">
        <v>353</v>
      </c>
      <c r="D47" s="99">
        <v>0</v>
      </c>
      <c r="E47" s="99"/>
    </row>
    <row r="48" spans="1:5" x14ac:dyDescent="0.3">
      <c r="A48" s="99" t="s">
        <v>358</v>
      </c>
      <c r="B48" s="99" t="s">
        <v>254</v>
      </c>
      <c r="C48" s="100" t="s">
        <v>353</v>
      </c>
      <c r="D48" s="99">
        <v>0</v>
      </c>
      <c r="E48" s="99"/>
    </row>
    <row r="49" spans="1:5" x14ac:dyDescent="0.3">
      <c r="A49" s="99" t="s">
        <v>359</v>
      </c>
      <c r="B49" s="99" t="s">
        <v>360</v>
      </c>
      <c r="C49" s="100" t="s">
        <v>353</v>
      </c>
      <c r="D49" s="99">
        <v>0</v>
      </c>
      <c r="E49" s="99"/>
    </row>
    <row r="50" spans="1:5" x14ac:dyDescent="0.3">
      <c r="A50" s="99" t="s">
        <v>361</v>
      </c>
      <c r="B50" s="99" t="s">
        <v>362</v>
      </c>
      <c r="C50" s="100" t="s">
        <v>353</v>
      </c>
      <c r="D50" s="99">
        <v>0</v>
      </c>
      <c r="E50" s="99"/>
    </row>
    <row r="51" spans="1:5" x14ac:dyDescent="0.3">
      <c r="A51" s="99" t="s">
        <v>363</v>
      </c>
      <c r="B51" s="99" t="s">
        <v>364</v>
      </c>
      <c r="C51" s="100" t="s">
        <v>353</v>
      </c>
      <c r="D51" s="99">
        <v>0</v>
      </c>
      <c r="E51" s="99"/>
    </row>
    <row r="52" spans="1:5" x14ac:dyDescent="0.3">
      <c r="A52" s="99" t="s">
        <v>365</v>
      </c>
      <c r="B52" s="99" t="s">
        <v>366</v>
      </c>
      <c r="C52" s="100" t="s">
        <v>353</v>
      </c>
      <c r="D52" s="99">
        <v>0</v>
      </c>
      <c r="E52" s="99"/>
    </row>
    <row r="53" spans="1:5" x14ac:dyDescent="0.3">
      <c r="A53" s="99" t="s">
        <v>367</v>
      </c>
      <c r="B53" s="99" t="s">
        <v>368</v>
      </c>
      <c r="C53" s="100" t="s">
        <v>353</v>
      </c>
      <c r="D53" s="99">
        <v>0</v>
      </c>
      <c r="E53" s="99"/>
    </row>
    <row r="54" spans="1:5" x14ac:dyDescent="0.3">
      <c r="A54" s="99" t="s">
        <v>369</v>
      </c>
      <c r="B54" s="99" t="s">
        <v>370</v>
      </c>
      <c r="C54" s="100" t="s">
        <v>353</v>
      </c>
      <c r="D54" s="99">
        <v>0</v>
      </c>
      <c r="E54" s="99"/>
    </row>
    <row r="55" spans="1:5" x14ac:dyDescent="0.3">
      <c r="A55" s="99" t="s">
        <v>371</v>
      </c>
      <c r="B55" s="99" t="s">
        <v>372</v>
      </c>
      <c r="C55" s="100" t="s">
        <v>353</v>
      </c>
      <c r="D55" s="99">
        <v>0</v>
      </c>
      <c r="E55" s="99"/>
    </row>
    <row r="56" spans="1:5" x14ac:dyDescent="0.3">
      <c r="A56" s="99" t="s">
        <v>373</v>
      </c>
      <c r="B56" s="99" t="s">
        <v>374</v>
      </c>
      <c r="C56" s="100" t="s">
        <v>353</v>
      </c>
      <c r="D56" s="99">
        <v>0</v>
      </c>
      <c r="E56" s="99"/>
    </row>
    <row r="57" spans="1:5" x14ac:dyDescent="0.3">
      <c r="A57" s="99" t="s">
        <v>375</v>
      </c>
      <c r="B57" s="99" t="s">
        <v>251</v>
      </c>
      <c r="C57" s="100" t="s">
        <v>353</v>
      </c>
      <c r="D57" s="99">
        <v>0</v>
      </c>
      <c r="E57" s="99"/>
    </row>
    <row r="58" spans="1:5" x14ac:dyDescent="0.3">
      <c r="A58" s="99" t="s">
        <v>376</v>
      </c>
      <c r="B58" s="99" t="s">
        <v>377</v>
      </c>
      <c r="C58" s="100" t="s">
        <v>353</v>
      </c>
      <c r="D58" s="99">
        <v>0</v>
      </c>
      <c r="E58" s="99"/>
    </row>
    <row r="59" spans="1:5" x14ac:dyDescent="0.3">
      <c r="A59" s="99" t="s">
        <v>378</v>
      </c>
      <c r="B59" s="99" t="s">
        <v>379</v>
      </c>
      <c r="C59" s="100" t="s">
        <v>353</v>
      </c>
      <c r="D59" s="99">
        <v>0</v>
      </c>
      <c r="E59" s="99"/>
    </row>
    <row r="60" spans="1:5" x14ac:dyDescent="0.3">
      <c r="A60" s="99" t="s">
        <v>380</v>
      </c>
      <c r="B60" s="99" t="s">
        <v>381</v>
      </c>
      <c r="C60" s="100" t="s">
        <v>353</v>
      </c>
      <c r="D60" s="99">
        <v>0</v>
      </c>
      <c r="E60" s="99"/>
    </row>
    <row r="61" spans="1:5" x14ac:dyDescent="0.3">
      <c r="A61" s="99" t="s">
        <v>382</v>
      </c>
      <c r="B61" s="99" t="s">
        <v>383</v>
      </c>
      <c r="C61" s="100" t="s">
        <v>353</v>
      </c>
      <c r="D61" s="99">
        <v>0</v>
      </c>
      <c r="E61" s="99"/>
    </row>
    <row r="62" spans="1:5" x14ac:dyDescent="0.3">
      <c r="A62" s="99" t="s">
        <v>384</v>
      </c>
      <c r="B62" s="99" t="s">
        <v>385</v>
      </c>
      <c r="C62" s="100" t="s">
        <v>353</v>
      </c>
      <c r="D62" s="99">
        <v>0</v>
      </c>
      <c r="E62" s="99"/>
    </row>
    <row r="63" spans="1:5" x14ac:dyDescent="0.3">
      <c r="A63" s="99" t="s">
        <v>386</v>
      </c>
      <c r="B63" s="99" t="s">
        <v>387</v>
      </c>
      <c r="C63" s="100" t="s">
        <v>353</v>
      </c>
      <c r="D63" s="99">
        <v>0</v>
      </c>
      <c r="E63" s="99"/>
    </row>
    <row r="64" spans="1:5" x14ac:dyDescent="0.3">
      <c r="A64" s="99" t="s">
        <v>388</v>
      </c>
      <c r="B64" s="99" t="s">
        <v>389</v>
      </c>
      <c r="C64" s="100" t="s">
        <v>353</v>
      </c>
      <c r="D64" s="99">
        <v>0</v>
      </c>
      <c r="E64" s="99"/>
    </row>
    <row r="65" spans="1:5" x14ac:dyDescent="0.3">
      <c r="A65" s="99" t="s">
        <v>390</v>
      </c>
      <c r="B65" s="99" t="s">
        <v>391</v>
      </c>
      <c r="C65" s="100" t="s">
        <v>353</v>
      </c>
      <c r="D65" s="99">
        <v>0</v>
      </c>
      <c r="E65" s="99"/>
    </row>
    <row r="66" spans="1:5" x14ac:dyDescent="0.3">
      <c r="A66" s="99" t="s">
        <v>392</v>
      </c>
      <c r="B66" s="99" t="s">
        <v>393</v>
      </c>
      <c r="C66" s="100" t="s">
        <v>353</v>
      </c>
      <c r="D66" s="99">
        <v>0</v>
      </c>
      <c r="E66" s="99"/>
    </row>
    <row r="67" spans="1:5" x14ac:dyDescent="0.3">
      <c r="A67" s="99" t="s">
        <v>394</v>
      </c>
      <c r="B67" s="99" t="s">
        <v>395</v>
      </c>
      <c r="C67" s="100" t="s">
        <v>353</v>
      </c>
      <c r="D67" s="99">
        <v>0</v>
      </c>
      <c r="E67" s="99"/>
    </row>
    <row r="68" spans="1:5" x14ac:dyDescent="0.3">
      <c r="A68" s="99" t="s">
        <v>396</v>
      </c>
      <c r="B68" s="99" t="s">
        <v>397</v>
      </c>
      <c r="C68" s="100" t="s">
        <v>353</v>
      </c>
      <c r="D68" s="99">
        <v>0</v>
      </c>
      <c r="E68" s="99"/>
    </row>
    <row r="69" spans="1:5" x14ac:dyDescent="0.3">
      <c r="A69" s="99" t="s">
        <v>398</v>
      </c>
      <c r="B69" s="99" t="s">
        <v>399</v>
      </c>
      <c r="C69" s="100" t="s">
        <v>353</v>
      </c>
      <c r="D69" s="99">
        <v>0</v>
      </c>
      <c r="E69" s="99"/>
    </row>
    <row r="70" spans="1:5" x14ac:dyDescent="0.3">
      <c r="A70" s="99" t="s">
        <v>400</v>
      </c>
      <c r="B70" s="99" t="s">
        <v>401</v>
      </c>
      <c r="C70" s="100" t="s">
        <v>353</v>
      </c>
      <c r="D70" s="99">
        <v>0</v>
      </c>
      <c r="E70" s="99"/>
    </row>
    <row r="71" spans="1:5" x14ac:dyDescent="0.3">
      <c r="A71" s="99" t="s">
        <v>402</v>
      </c>
      <c r="B71" s="99" t="s">
        <v>403</v>
      </c>
      <c r="C71" s="100" t="s">
        <v>353</v>
      </c>
      <c r="D71" s="99">
        <v>0</v>
      </c>
      <c r="E71" s="99"/>
    </row>
    <row r="72" spans="1:5" x14ac:dyDescent="0.3">
      <c r="A72" s="99" t="s">
        <v>404</v>
      </c>
      <c r="B72" s="99" t="s">
        <v>222</v>
      </c>
      <c r="C72" s="100" t="s">
        <v>353</v>
      </c>
      <c r="D72" s="99">
        <v>0</v>
      </c>
      <c r="E72" s="99"/>
    </row>
    <row r="73" spans="1:5" x14ac:dyDescent="0.3">
      <c r="A73" s="99" t="s">
        <v>405</v>
      </c>
      <c r="B73" s="99" t="s">
        <v>406</v>
      </c>
      <c r="C73" s="100" t="s">
        <v>353</v>
      </c>
      <c r="D73" s="99">
        <v>0</v>
      </c>
      <c r="E73" s="99"/>
    </row>
    <row r="74" spans="1:5" x14ac:dyDescent="0.3">
      <c r="A74" s="99" t="s">
        <v>407</v>
      </c>
      <c r="B74" s="99" t="s">
        <v>408</v>
      </c>
      <c r="C74" s="100" t="s">
        <v>353</v>
      </c>
      <c r="D74" s="99">
        <v>0</v>
      </c>
      <c r="E74" s="99"/>
    </row>
    <row r="75" spans="1:5" x14ac:dyDescent="0.3">
      <c r="A75" s="99" t="s">
        <v>409</v>
      </c>
      <c r="B75" s="99" t="s">
        <v>410</v>
      </c>
      <c r="C75" s="100" t="s">
        <v>353</v>
      </c>
      <c r="D75" s="99">
        <v>0</v>
      </c>
      <c r="E75" s="99"/>
    </row>
    <row r="76" spans="1:5" x14ac:dyDescent="0.3">
      <c r="A76" s="99" t="s">
        <v>411</v>
      </c>
      <c r="B76" s="99" t="s">
        <v>412</v>
      </c>
      <c r="C76" s="100" t="s">
        <v>353</v>
      </c>
      <c r="D76" s="99">
        <v>0</v>
      </c>
      <c r="E76" s="99"/>
    </row>
    <row r="77" spans="1:5" x14ac:dyDescent="0.3">
      <c r="A77" s="99" t="s">
        <v>413</v>
      </c>
      <c r="B77" s="99" t="s">
        <v>414</v>
      </c>
      <c r="C77" s="100" t="s">
        <v>353</v>
      </c>
      <c r="D77" s="99">
        <v>0</v>
      </c>
      <c r="E77" s="99"/>
    </row>
    <row r="78" spans="1:5" x14ac:dyDescent="0.3">
      <c r="A78" s="99" t="s">
        <v>415</v>
      </c>
      <c r="B78" s="99" t="s">
        <v>416</v>
      </c>
      <c r="C78" s="100" t="s">
        <v>353</v>
      </c>
      <c r="D78" s="99">
        <v>0</v>
      </c>
      <c r="E78" s="99"/>
    </row>
    <row r="79" spans="1:5" x14ac:dyDescent="0.3">
      <c r="A79" s="99" t="s">
        <v>417</v>
      </c>
      <c r="B79" s="99" t="s">
        <v>418</v>
      </c>
      <c r="C79" s="100" t="s">
        <v>353</v>
      </c>
      <c r="D79" s="99">
        <v>0</v>
      </c>
      <c r="E79" s="99"/>
    </row>
    <row r="80" spans="1:5" x14ac:dyDescent="0.3">
      <c r="A80" s="99" t="s">
        <v>419</v>
      </c>
      <c r="B80" s="99" t="s">
        <v>420</v>
      </c>
      <c r="C80" s="100" t="s">
        <v>353</v>
      </c>
      <c r="D80" s="99">
        <v>0</v>
      </c>
      <c r="E80" s="99"/>
    </row>
    <row r="81" spans="1:5" x14ac:dyDescent="0.3">
      <c r="A81" s="99" t="s">
        <v>421</v>
      </c>
      <c r="B81" s="99" t="s">
        <v>422</v>
      </c>
      <c r="C81" s="100" t="s">
        <v>353</v>
      </c>
      <c r="D81" s="99">
        <v>0</v>
      </c>
      <c r="E81" s="99"/>
    </row>
    <row r="82" spans="1:5" x14ac:dyDescent="0.3">
      <c r="A82" s="99" t="s">
        <v>423</v>
      </c>
      <c r="B82" s="99" t="s">
        <v>424</v>
      </c>
      <c r="C82" s="100" t="s">
        <v>353</v>
      </c>
      <c r="D82" s="99">
        <v>0</v>
      </c>
      <c r="E82" s="99"/>
    </row>
    <row r="83" spans="1:5" x14ac:dyDescent="0.3">
      <c r="A83" s="99" t="s">
        <v>425</v>
      </c>
      <c r="B83" s="99" t="s">
        <v>426</v>
      </c>
      <c r="C83" s="100" t="s">
        <v>353</v>
      </c>
      <c r="D83" s="99">
        <v>0</v>
      </c>
      <c r="E83" s="99"/>
    </row>
    <row r="84" spans="1:5" x14ac:dyDescent="0.3">
      <c r="A84" s="99" t="s">
        <v>427</v>
      </c>
      <c r="B84" s="99" t="s">
        <v>428</v>
      </c>
      <c r="C84" s="100" t="s">
        <v>353</v>
      </c>
      <c r="D84" s="99">
        <v>0</v>
      </c>
      <c r="E84" s="99"/>
    </row>
    <row r="85" spans="1:5" x14ac:dyDescent="0.3">
      <c r="A85" s="99" t="s">
        <v>429</v>
      </c>
      <c r="B85" s="99" t="s">
        <v>430</v>
      </c>
      <c r="C85" s="100" t="s">
        <v>353</v>
      </c>
      <c r="D85" s="99">
        <v>0</v>
      </c>
      <c r="E85" s="99"/>
    </row>
    <row r="86" spans="1:5" x14ac:dyDescent="0.3">
      <c r="A86" s="99" t="s">
        <v>431</v>
      </c>
      <c r="B86" s="99" t="s">
        <v>234</v>
      </c>
      <c r="C86" s="100" t="s">
        <v>353</v>
      </c>
      <c r="D86" s="99">
        <v>0</v>
      </c>
      <c r="E86" s="99"/>
    </row>
    <row r="87" spans="1:5" x14ac:dyDescent="0.3">
      <c r="A87" s="99" t="s">
        <v>432</v>
      </c>
      <c r="B87" s="99" t="s">
        <v>235</v>
      </c>
      <c r="C87" s="100" t="s">
        <v>353</v>
      </c>
      <c r="D87" s="99">
        <v>0</v>
      </c>
      <c r="E87" s="99"/>
    </row>
    <row r="88" spans="1:5" x14ac:dyDescent="0.3">
      <c r="A88" s="99" t="s">
        <v>433</v>
      </c>
      <c r="B88" s="99" t="s">
        <v>434</v>
      </c>
      <c r="C88" s="100" t="s">
        <v>353</v>
      </c>
      <c r="D88" s="99">
        <v>0</v>
      </c>
      <c r="E88" s="99"/>
    </row>
    <row r="89" spans="1:5" x14ac:dyDescent="0.3">
      <c r="A89" s="99" t="s">
        <v>435</v>
      </c>
      <c r="B89" s="99" t="s">
        <v>436</v>
      </c>
      <c r="C89" s="100" t="s">
        <v>353</v>
      </c>
      <c r="D89" s="99">
        <v>0</v>
      </c>
      <c r="E89" s="99"/>
    </row>
    <row r="90" spans="1:5" x14ac:dyDescent="0.3">
      <c r="A90" s="99" t="s">
        <v>437</v>
      </c>
      <c r="B90" s="99" t="s">
        <v>438</v>
      </c>
      <c r="C90" s="100" t="s">
        <v>353</v>
      </c>
      <c r="D90" s="99">
        <v>0</v>
      </c>
      <c r="E90" s="99"/>
    </row>
    <row r="91" spans="1:5" x14ac:dyDescent="0.3">
      <c r="A91" s="99" t="s">
        <v>439</v>
      </c>
      <c r="B91" s="99" t="s">
        <v>440</v>
      </c>
      <c r="C91" s="100" t="s">
        <v>353</v>
      </c>
      <c r="D91" s="99">
        <v>0</v>
      </c>
      <c r="E91" s="99"/>
    </row>
    <row r="92" spans="1:5" x14ac:dyDescent="0.3">
      <c r="A92" s="99" t="s">
        <v>441</v>
      </c>
      <c r="B92" s="99" t="s">
        <v>223</v>
      </c>
      <c r="C92" s="100" t="s">
        <v>353</v>
      </c>
      <c r="D92" s="99">
        <v>0</v>
      </c>
      <c r="E92" s="99"/>
    </row>
    <row r="93" spans="1:5" x14ac:dyDescent="0.3">
      <c r="A93" s="99" t="s">
        <v>442</v>
      </c>
      <c r="B93" s="99" t="s">
        <v>443</v>
      </c>
      <c r="C93" s="100" t="s">
        <v>353</v>
      </c>
      <c r="D93" s="99"/>
      <c r="E93" s="99"/>
    </row>
    <row r="94" spans="1:5" x14ac:dyDescent="0.3">
      <c r="A94" s="99" t="s">
        <v>444</v>
      </c>
      <c r="B94" s="99" t="s">
        <v>445</v>
      </c>
      <c r="C94" s="100" t="s">
        <v>353</v>
      </c>
      <c r="D94" s="99"/>
      <c r="E94" s="99"/>
    </row>
    <row r="95" spans="1:5" x14ac:dyDescent="0.3">
      <c r="A95" s="99" t="s">
        <v>446</v>
      </c>
      <c r="B95" s="99" t="s">
        <v>447</v>
      </c>
      <c r="C95" s="100" t="s">
        <v>353</v>
      </c>
      <c r="D95" s="99"/>
      <c r="E95" s="99"/>
    </row>
    <row r="96" spans="1:5" x14ac:dyDescent="0.3">
      <c r="A96" s="99" t="s">
        <v>448</v>
      </c>
      <c r="B96" s="99" t="s">
        <v>236</v>
      </c>
      <c r="C96" s="100" t="s">
        <v>353</v>
      </c>
      <c r="D96" s="99"/>
      <c r="E96" s="99"/>
    </row>
    <row r="97" spans="1:5" x14ac:dyDescent="0.3">
      <c r="A97" s="99" t="s">
        <v>449</v>
      </c>
      <c r="B97" s="99" t="s">
        <v>450</v>
      </c>
      <c r="C97" s="100" t="s">
        <v>353</v>
      </c>
      <c r="D97" s="99"/>
      <c r="E97" s="99"/>
    </row>
    <row r="98" spans="1:5" x14ac:dyDescent="0.3">
      <c r="A98" s="99" t="s">
        <v>451</v>
      </c>
      <c r="B98" s="99" t="s">
        <v>452</v>
      </c>
      <c r="C98" s="100" t="s">
        <v>353</v>
      </c>
      <c r="D98" s="99"/>
      <c r="E98" s="99"/>
    </row>
    <row r="99" spans="1:5" x14ac:dyDescent="0.3">
      <c r="A99" s="99" t="s">
        <v>453</v>
      </c>
      <c r="B99" s="99" t="s">
        <v>454</v>
      </c>
      <c r="C99" s="100" t="s">
        <v>353</v>
      </c>
      <c r="D99" s="99"/>
      <c r="E99" s="99"/>
    </row>
    <row r="100" spans="1:5" x14ac:dyDescent="0.3">
      <c r="A100" s="99" t="s">
        <v>455</v>
      </c>
      <c r="B100" s="99" t="s">
        <v>252</v>
      </c>
      <c r="C100" s="100" t="s">
        <v>353</v>
      </c>
      <c r="D100" s="99"/>
      <c r="E100" s="99"/>
    </row>
    <row r="101" spans="1:5" x14ac:dyDescent="0.3">
      <c r="A101" s="99" t="s">
        <v>456</v>
      </c>
      <c r="B101" s="99" t="s">
        <v>457</v>
      </c>
      <c r="C101" s="100" t="s">
        <v>353</v>
      </c>
      <c r="D101" s="99"/>
      <c r="E101" s="99"/>
    </row>
    <row r="102" spans="1:5" x14ac:dyDescent="0.3">
      <c r="A102" s="99" t="s">
        <v>458</v>
      </c>
      <c r="B102" s="99" t="s">
        <v>459</v>
      </c>
      <c r="C102" s="100" t="s">
        <v>353</v>
      </c>
      <c r="D102" s="99"/>
      <c r="E102" s="99"/>
    </row>
    <row r="103" spans="1:5" x14ac:dyDescent="0.3">
      <c r="A103" s="99" t="s">
        <v>460</v>
      </c>
      <c r="B103" s="99" t="s">
        <v>461</v>
      </c>
      <c r="C103" s="100" t="s">
        <v>353</v>
      </c>
      <c r="D103" s="99"/>
      <c r="E103" s="99"/>
    </row>
    <row r="104" spans="1:5" x14ac:dyDescent="0.3">
      <c r="A104" s="99" t="s">
        <v>462</v>
      </c>
      <c r="B104" s="99" t="s">
        <v>463</v>
      </c>
      <c r="C104" s="100" t="s">
        <v>353</v>
      </c>
      <c r="D104" s="99"/>
      <c r="E104" s="99"/>
    </row>
    <row r="105" spans="1:5" x14ac:dyDescent="0.3">
      <c r="A105" s="99" t="s">
        <v>464</v>
      </c>
      <c r="B105" s="99" t="s">
        <v>465</v>
      </c>
      <c r="C105" s="100" t="s">
        <v>353</v>
      </c>
      <c r="D105" s="99"/>
      <c r="E105" s="99"/>
    </row>
    <row r="106" spans="1:5" x14ac:dyDescent="0.3">
      <c r="A106" s="99" t="s">
        <v>466</v>
      </c>
      <c r="B106" s="99" t="s">
        <v>467</v>
      </c>
      <c r="C106" s="100" t="s">
        <v>353</v>
      </c>
      <c r="D106" s="99"/>
      <c r="E106" s="99"/>
    </row>
    <row r="107" spans="1:5" x14ac:dyDescent="0.3">
      <c r="A107" s="99" t="s">
        <v>468</v>
      </c>
      <c r="B107" s="99" t="s">
        <v>469</v>
      </c>
      <c r="C107" s="100" t="s">
        <v>353</v>
      </c>
      <c r="D107" s="99"/>
      <c r="E107" s="99"/>
    </row>
    <row r="108" spans="1:5" x14ac:dyDescent="0.3">
      <c r="A108" s="99" t="s">
        <v>470</v>
      </c>
      <c r="B108" s="99" t="s">
        <v>471</v>
      </c>
      <c r="C108" s="100" t="s">
        <v>353</v>
      </c>
      <c r="D108" s="99"/>
      <c r="E108" s="99"/>
    </row>
    <row r="109" spans="1:5" x14ac:dyDescent="0.3">
      <c r="A109" s="99" t="s">
        <v>472</v>
      </c>
      <c r="B109" s="99" t="s">
        <v>473</v>
      </c>
      <c r="C109" s="100" t="s">
        <v>353</v>
      </c>
      <c r="D109" s="99"/>
      <c r="E109" s="99"/>
    </row>
    <row r="110" spans="1:5" x14ac:dyDescent="0.3">
      <c r="A110" s="99" t="s">
        <v>474</v>
      </c>
      <c r="B110" s="99" t="s">
        <v>475</v>
      </c>
      <c r="C110" s="100" t="s">
        <v>353</v>
      </c>
      <c r="D110" s="99"/>
      <c r="E110" s="99"/>
    </row>
    <row r="111" spans="1:5" x14ac:dyDescent="0.3">
      <c r="A111" s="99" t="s">
        <v>476</v>
      </c>
      <c r="B111" s="99" t="s">
        <v>477</v>
      </c>
      <c r="C111" s="100" t="s">
        <v>353</v>
      </c>
      <c r="D111" s="99"/>
      <c r="E111" s="99"/>
    </row>
    <row r="112" spans="1:5" x14ac:dyDescent="0.3">
      <c r="A112" s="99" t="s">
        <v>478</v>
      </c>
      <c r="B112" s="99" t="s">
        <v>479</v>
      </c>
      <c r="C112" s="100" t="s">
        <v>353</v>
      </c>
      <c r="D112" s="99"/>
      <c r="E112" s="99"/>
    </row>
    <row r="113" spans="1:5" x14ac:dyDescent="0.3">
      <c r="A113" s="99" t="s">
        <v>480</v>
      </c>
      <c r="B113" s="99" t="s">
        <v>481</v>
      </c>
      <c r="C113" s="100" t="s">
        <v>353</v>
      </c>
      <c r="D113" s="99"/>
      <c r="E113" s="99"/>
    </row>
    <row r="114" spans="1:5" x14ac:dyDescent="0.3">
      <c r="A114" s="99" t="s">
        <v>482</v>
      </c>
      <c r="B114" s="99" t="s">
        <v>483</v>
      </c>
      <c r="C114" s="100" t="s">
        <v>353</v>
      </c>
      <c r="D114" s="99"/>
      <c r="E114" s="99"/>
    </row>
    <row r="115" spans="1:5" x14ac:dyDescent="0.3">
      <c r="A115" s="99" t="s">
        <v>484</v>
      </c>
      <c r="B115" s="99" t="s">
        <v>485</v>
      </c>
      <c r="C115" s="100" t="s">
        <v>353</v>
      </c>
      <c r="D115" s="99"/>
      <c r="E115" s="99"/>
    </row>
    <row r="116" spans="1:5" x14ac:dyDescent="0.3">
      <c r="A116" s="99" t="s">
        <v>486</v>
      </c>
      <c r="B116" s="99" t="s">
        <v>487</v>
      </c>
      <c r="C116" s="100" t="s">
        <v>353</v>
      </c>
      <c r="D116" s="99"/>
      <c r="E116" s="99"/>
    </row>
    <row r="117" spans="1:5" x14ac:dyDescent="0.3">
      <c r="A117" s="99" t="s">
        <v>488</v>
      </c>
      <c r="B117" s="99" t="s">
        <v>489</v>
      </c>
      <c r="C117" s="100" t="s">
        <v>353</v>
      </c>
      <c r="D117" s="99"/>
      <c r="E117" s="99"/>
    </row>
    <row r="118" spans="1:5" x14ac:dyDescent="0.3">
      <c r="A118" s="99" t="s">
        <v>490</v>
      </c>
      <c r="B118" s="99" t="s">
        <v>491</v>
      </c>
      <c r="C118" s="100" t="s">
        <v>353</v>
      </c>
      <c r="D118" s="99"/>
      <c r="E118" s="99"/>
    </row>
    <row r="119" spans="1:5" x14ac:dyDescent="0.3">
      <c r="A119" s="99" t="s">
        <v>492</v>
      </c>
      <c r="B119" s="99" t="s">
        <v>493</v>
      </c>
      <c r="C119" s="100" t="s">
        <v>353</v>
      </c>
      <c r="D119" s="99"/>
      <c r="E119" s="99"/>
    </row>
    <row r="120" spans="1:5" x14ac:dyDescent="0.3">
      <c r="A120" s="99" t="s">
        <v>494</v>
      </c>
      <c r="B120" s="99" t="s">
        <v>495</v>
      </c>
      <c r="C120" s="100" t="s">
        <v>353</v>
      </c>
      <c r="D120" s="99"/>
      <c r="E120" s="99"/>
    </row>
    <row r="121" spans="1:5" x14ac:dyDescent="0.3">
      <c r="A121" s="99" t="s">
        <v>496</v>
      </c>
      <c r="B121" s="99" t="s">
        <v>497</v>
      </c>
      <c r="C121" s="100" t="s">
        <v>353</v>
      </c>
      <c r="D121" s="99"/>
      <c r="E121" s="99"/>
    </row>
    <row r="122" spans="1:5" x14ac:dyDescent="0.3">
      <c r="A122" s="99" t="s">
        <v>498</v>
      </c>
      <c r="B122" s="99" t="s">
        <v>499</v>
      </c>
      <c r="C122" s="100" t="s">
        <v>353</v>
      </c>
      <c r="D122" s="99"/>
      <c r="E122" s="99"/>
    </row>
    <row r="123" spans="1:5" x14ac:dyDescent="0.3">
      <c r="A123" s="99" t="s">
        <v>500</v>
      </c>
      <c r="B123" s="99" t="s">
        <v>501</v>
      </c>
      <c r="C123" s="100" t="s">
        <v>353</v>
      </c>
      <c r="D123" s="99"/>
      <c r="E123" s="99"/>
    </row>
    <row r="124" spans="1:5" x14ac:dyDescent="0.3">
      <c r="A124" s="99" t="s">
        <v>502</v>
      </c>
      <c r="B124" s="99" t="s">
        <v>503</v>
      </c>
      <c r="C124" s="100" t="s">
        <v>353</v>
      </c>
      <c r="D124" s="99"/>
      <c r="E124" s="99"/>
    </row>
    <row r="125" spans="1:5" x14ac:dyDescent="0.3">
      <c r="A125" s="99" t="s">
        <v>504</v>
      </c>
      <c r="B125" s="99" t="s">
        <v>505</v>
      </c>
      <c r="C125" s="100" t="s">
        <v>506</v>
      </c>
      <c r="D125" s="99"/>
      <c r="E125" s="99"/>
    </row>
    <row r="126" spans="1:5" x14ac:dyDescent="0.3">
      <c r="A126" s="99" t="s">
        <v>507</v>
      </c>
      <c r="B126" s="99" t="s">
        <v>508</v>
      </c>
      <c r="C126" s="100" t="s">
        <v>506</v>
      </c>
      <c r="D126" s="99"/>
      <c r="E126" s="99"/>
    </row>
    <row r="127" spans="1:5" x14ac:dyDescent="0.3">
      <c r="A127" s="99" t="s">
        <v>509</v>
      </c>
      <c r="B127" s="99" t="s">
        <v>510</v>
      </c>
      <c r="C127" s="100" t="s">
        <v>506</v>
      </c>
      <c r="D127" s="99"/>
      <c r="E127" s="99"/>
    </row>
    <row r="128" spans="1:5" x14ac:dyDescent="0.3">
      <c r="A128" s="99" t="s">
        <v>511</v>
      </c>
      <c r="B128" s="99" t="s">
        <v>512</v>
      </c>
      <c r="C128" s="100" t="s">
        <v>506</v>
      </c>
      <c r="D128" s="99"/>
      <c r="E128" s="99"/>
    </row>
    <row r="129" spans="1:5" x14ac:dyDescent="0.3">
      <c r="A129" s="99" t="s">
        <v>513</v>
      </c>
      <c r="B129" s="99" t="s">
        <v>514</v>
      </c>
      <c r="C129" s="100" t="s">
        <v>506</v>
      </c>
      <c r="D129" s="99"/>
      <c r="E129" s="99"/>
    </row>
    <row r="130" spans="1:5" x14ac:dyDescent="0.3">
      <c r="A130" s="99" t="s">
        <v>515</v>
      </c>
      <c r="B130" s="99" t="s">
        <v>516</v>
      </c>
      <c r="C130" s="100" t="s">
        <v>506</v>
      </c>
      <c r="D130" s="99"/>
      <c r="E130" s="99"/>
    </row>
    <row r="131" spans="1:5" x14ac:dyDescent="0.3">
      <c r="A131" s="99" t="s">
        <v>517</v>
      </c>
      <c r="B131" s="99" t="s">
        <v>518</v>
      </c>
      <c r="C131" s="100" t="s">
        <v>506</v>
      </c>
      <c r="D131" s="99"/>
      <c r="E131" s="99"/>
    </row>
    <row r="132" spans="1:5" x14ac:dyDescent="0.3">
      <c r="A132" s="99" t="s">
        <v>519</v>
      </c>
      <c r="B132" s="99" t="s">
        <v>520</v>
      </c>
      <c r="C132" s="100" t="s">
        <v>506</v>
      </c>
      <c r="D132" s="99"/>
      <c r="E132" s="99"/>
    </row>
    <row r="133" spans="1:5" x14ac:dyDescent="0.3">
      <c r="A133" s="99" t="s">
        <v>521</v>
      </c>
      <c r="B133" s="99" t="s">
        <v>522</v>
      </c>
      <c r="C133" s="100" t="s">
        <v>523</v>
      </c>
      <c r="D133" s="99"/>
      <c r="E133" s="99"/>
    </row>
    <row r="134" spans="1:5" x14ac:dyDescent="0.3">
      <c r="A134" s="99" t="s">
        <v>524</v>
      </c>
      <c r="B134" s="99" t="s">
        <v>525</v>
      </c>
      <c r="C134" s="100" t="s">
        <v>526</v>
      </c>
      <c r="D134" s="99"/>
      <c r="E134" s="99"/>
    </row>
    <row r="135" spans="1:5" x14ac:dyDescent="0.3">
      <c r="A135" s="99" t="s">
        <v>527</v>
      </c>
      <c r="B135" s="99" t="s">
        <v>528</v>
      </c>
      <c r="C135" s="100" t="s">
        <v>526</v>
      </c>
      <c r="D135" s="99"/>
      <c r="E135" s="99"/>
    </row>
    <row r="136" spans="1:5" x14ac:dyDescent="0.3">
      <c r="A136" s="99" t="s">
        <v>529</v>
      </c>
      <c r="B136" s="99" t="s">
        <v>530</v>
      </c>
      <c r="C136" s="100" t="s">
        <v>526</v>
      </c>
      <c r="D136" s="99"/>
      <c r="E136" s="99"/>
    </row>
    <row r="137" spans="1:5" x14ac:dyDescent="0.3">
      <c r="A137" s="99" t="s">
        <v>531</v>
      </c>
      <c r="B137" s="99" t="s">
        <v>532</v>
      </c>
      <c r="C137" s="100" t="s">
        <v>526</v>
      </c>
      <c r="D137" s="99"/>
      <c r="E137" s="99"/>
    </row>
    <row r="138" spans="1:5" x14ac:dyDescent="0.3">
      <c r="A138" s="99" t="s">
        <v>533</v>
      </c>
      <c r="B138" s="99" t="s">
        <v>534</v>
      </c>
      <c r="C138" s="100" t="s">
        <v>526</v>
      </c>
      <c r="D138" s="99"/>
      <c r="E138" s="99"/>
    </row>
    <row r="139" spans="1:5" x14ac:dyDescent="0.3">
      <c r="A139" s="99" t="s">
        <v>535</v>
      </c>
      <c r="B139" s="99" t="s">
        <v>536</v>
      </c>
      <c r="C139" s="100" t="s">
        <v>526</v>
      </c>
      <c r="D139" s="99"/>
      <c r="E139" s="99"/>
    </row>
    <row r="140" spans="1:5" x14ac:dyDescent="0.3">
      <c r="A140" s="99" t="s">
        <v>537</v>
      </c>
      <c r="B140" s="99" t="s">
        <v>538</v>
      </c>
      <c r="C140" s="100" t="s">
        <v>526</v>
      </c>
      <c r="D140" s="99"/>
      <c r="E140" s="99"/>
    </row>
    <row r="141" spans="1:5" x14ac:dyDescent="0.3">
      <c r="A141" s="99" t="s">
        <v>539</v>
      </c>
      <c r="B141" s="99" t="s">
        <v>540</v>
      </c>
      <c r="C141" s="100" t="s">
        <v>526</v>
      </c>
      <c r="D141" s="99"/>
      <c r="E141" s="99"/>
    </row>
    <row r="142" spans="1:5" x14ac:dyDescent="0.3">
      <c r="A142" s="99" t="s">
        <v>541</v>
      </c>
      <c r="B142" s="99" t="s">
        <v>542</v>
      </c>
      <c r="C142" s="100" t="s">
        <v>526</v>
      </c>
      <c r="D142" s="99"/>
      <c r="E142" s="99"/>
    </row>
    <row r="143" spans="1:5" x14ac:dyDescent="0.3">
      <c r="A143" s="99" t="s">
        <v>543</v>
      </c>
      <c r="B143" s="99" t="s">
        <v>544</v>
      </c>
      <c r="C143" s="100" t="s">
        <v>526</v>
      </c>
      <c r="D143" s="99"/>
      <c r="E143" s="99"/>
    </row>
    <row r="144" spans="1:5" x14ac:dyDescent="0.3">
      <c r="A144" s="99" t="s">
        <v>545</v>
      </c>
      <c r="B144" s="99" t="s">
        <v>546</v>
      </c>
      <c r="C144" s="100" t="s">
        <v>526</v>
      </c>
      <c r="D144" s="99"/>
      <c r="E144" s="99"/>
    </row>
    <row r="145" spans="1:5" x14ac:dyDescent="0.3">
      <c r="A145" s="99" t="s">
        <v>547</v>
      </c>
      <c r="B145" s="99" t="s">
        <v>548</v>
      </c>
      <c r="C145" s="100" t="s">
        <v>526</v>
      </c>
      <c r="D145" s="99"/>
      <c r="E145" s="99"/>
    </row>
    <row r="146" spans="1:5" x14ac:dyDescent="0.3">
      <c r="A146" s="99" t="s">
        <v>549</v>
      </c>
      <c r="B146" s="99" t="s">
        <v>550</v>
      </c>
      <c r="C146" s="100" t="s">
        <v>526</v>
      </c>
      <c r="D146" s="99"/>
      <c r="E146" s="99"/>
    </row>
    <row r="147" spans="1:5" x14ac:dyDescent="0.3">
      <c r="A147" s="99" t="s">
        <v>551</v>
      </c>
      <c r="B147" s="99" t="s">
        <v>552</v>
      </c>
      <c r="C147" s="100" t="s">
        <v>526</v>
      </c>
      <c r="D147" s="99"/>
      <c r="E147" s="99"/>
    </row>
    <row r="148" spans="1:5" x14ac:dyDescent="0.3">
      <c r="A148" s="99" t="s">
        <v>553</v>
      </c>
      <c r="B148" s="99" t="s">
        <v>554</v>
      </c>
      <c r="C148" s="100" t="s">
        <v>526</v>
      </c>
      <c r="D148" s="99"/>
      <c r="E148" s="99"/>
    </row>
    <row r="149" spans="1:5" x14ac:dyDescent="0.3">
      <c r="A149" s="99" t="s">
        <v>555</v>
      </c>
      <c r="B149" s="99" t="s">
        <v>556</v>
      </c>
      <c r="C149" s="100" t="s">
        <v>526</v>
      </c>
      <c r="D149" s="99"/>
      <c r="E149" s="99"/>
    </row>
    <row r="150" spans="1:5" x14ac:dyDescent="0.3">
      <c r="A150" s="99" t="s">
        <v>557</v>
      </c>
      <c r="B150" s="99" t="s">
        <v>558</v>
      </c>
      <c r="C150" s="100" t="s">
        <v>526</v>
      </c>
      <c r="D150" s="99"/>
      <c r="E150" s="99"/>
    </row>
    <row r="151" spans="1:5" x14ac:dyDescent="0.3">
      <c r="A151" s="99" t="s">
        <v>559</v>
      </c>
      <c r="B151" s="99" t="s">
        <v>560</v>
      </c>
      <c r="C151" s="100" t="s">
        <v>526</v>
      </c>
      <c r="D151" s="99"/>
      <c r="E151" s="99"/>
    </row>
    <row r="152" spans="1:5" x14ac:dyDescent="0.3">
      <c r="A152" s="99" t="s">
        <v>561</v>
      </c>
      <c r="B152" s="99" t="s">
        <v>562</v>
      </c>
      <c r="C152" s="100" t="s">
        <v>526</v>
      </c>
      <c r="D152" s="99"/>
      <c r="E152" s="99"/>
    </row>
    <row r="153" spans="1:5" x14ac:dyDescent="0.3">
      <c r="A153" s="99" t="s">
        <v>563</v>
      </c>
      <c r="B153" s="99" t="s">
        <v>564</v>
      </c>
      <c r="C153" s="100" t="s">
        <v>526</v>
      </c>
      <c r="D153" s="99"/>
      <c r="E153" s="99"/>
    </row>
    <row r="154" spans="1:5" x14ac:dyDescent="0.3">
      <c r="A154" s="99" t="s">
        <v>565</v>
      </c>
      <c r="B154" s="99" t="s">
        <v>566</v>
      </c>
      <c r="C154" s="100" t="s">
        <v>526</v>
      </c>
      <c r="D154" s="99"/>
      <c r="E154" s="99"/>
    </row>
    <row r="155" spans="1:5" x14ac:dyDescent="0.3">
      <c r="A155" s="99" t="s">
        <v>567</v>
      </c>
      <c r="B155" s="99" t="s">
        <v>568</v>
      </c>
      <c r="C155" s="100" t="s">
        <v>526</v>
      </c>
      <c r="D155" s="99"/>
      <c r="E155" s="99"/>
    </row>
    <row r="156" spans="1:5" x14ac:dyDescent="0.3">
      <c r="A156" s="99" t="s">
        <v>569</v>
      </c>
      <c r="B156" s="99" t="s">
        <v>570</v>
      </c>
      <c r="C156" s="100" t="s">
        <v>526</v>
      </c>
      <c r="D156" s="99"/>
      <c r="E156" s="99"/>
    </row>
    <row r="157" spans="1:5" x14ac:dyDescent="0.3">
      <c r="A157" s="99" t="s">
        <v>571</v>
      </c>
      <c r="B157" s="99" t="s">
        <v>572</v>
      </c>
      <c r="C157" s="100" t="s">
        <v>526</v>
      </c>
      <c r="D157" s="99"/>
      <c r="E157" s="99"/>
    </row>
    <row r="158" spans="1:5" x14ac:dyDescent="0.3">
      <c r="A158" s="99" t="s">
        <v>573</v>
      </c>
      <c r="B158" s="99" t="s">
        <v>574</v>
      </c>
      <c r="C158" s="100" t="s">
        <v>526</v>
      </c>
      <c r="D158" s="99"/>
      <c r="E158" s="99"/>
    </row>
    <row r="159" spans="1:5" x14ac:dyDescent="0.3">
      <c r="A159" s="99" t="s">
        <v>575</v>
      </c>
      <c r="B159" s="99" t="s">
        <v>576</v>
      </c>
      <c r="C159" s="100" t="s">
        <v>526</v>
      </c>
      <c r="D159" s="99"/>
      <c r="E159" s="99"/>
    </row>
    <row r="160" spans="1:5" x14ac:dyDescent="0.3">
      <c r="A160" s="99" t="s">
        <v>577</v>
      </c>
      <c r="B160" s="99" t="s">
        <v>578</v>
      </c>
      <c r="C160" s="100" t="s">
        <v>526</v>
      </c>
      <c r="D160" s="99"/>
      <c r="E160" s="99"/>
    </row>
    <row r="161" spans="1:5" x14ac:dyDescent="0.3">
      <c r="A161" s="99" t="s">
        <v>579</v>
      </c>
      <c r="B161" s="99" t="s">
        <v>580</v>
      </c>
      <c r="C161" s="100" t="s">
        <v>526</v>
      </c>
      <c r="D161" s="99"/>
      <c r="E161" s="99"/>
    </row>
    <row r="162" spans="1:5" x14ac:dyDescent="0.3">
      <c r="A162" s="99" t="s">
        <v>581</v>
      </c>
      <c r="B162" s="99" t="s">
        <v>582</v>
      </c>
      <c r="C162" s="100" t="s">
        <v>526</v>
      </c>
      <c r="D162" s="99"/>
      <c r="E162" s="99"/>
    </row>
    <row r="163" spans="1:5" x14ac:dyDescent="0.3">
      <c r="A163" s="99" t="s">
        <v>583</v>
      </c>
      <c r="B163" s="99" t="s">
        <v>584</v>
      </c>
      <c r="C163" s="100" t="s">
        <v>526</v>
      </c>
      <c r="D163" s="99"/>
      <c r="E163" s="99"/>
    </row>
    <row r="164" spans="1:5" x14ac:dyDescent="0.3">
      <c r="A164" s="99" t="s">
        <v>585</v>
      </c>
      <c r="B164" s="99" t="s">
        <v>586</v>
      </c>
      <c r="C164" s="100" t="s">
        <v>526</v>
      </c>
      <c r="D164" s="99"/>
      <c r="E164" s="99"/>
    </row>
    <row r="165" spans="1:5" x14ac:dyDescent="0.3">
      <c r="A165" s="99" t="s">
        <v>587</v>
      </c>
      <c r="B165" s="99" t="s">
        <v>588</v>
      </c>
      <c r="C165" s="100" t="s">
        <v>589</v>
      </c>
      <c r="D165" s="99"/>
      <c r="E165" s="99"/>
    </row>
    <row r="166" spans="1:5" x14ac:dyDescent="0.3">
      <c r="A166" s="99" t="s">
        <v>590</v>
      </c>
      <c r="B166" s="99" t="s">
        <v>591</v>
      </c>
      <c r="C166" s="100" t="s">
        <v>589</v>
      </c>
      <c r="D166" s="99"/>
      <c r="E166" s="99"/>
    </row>
    <row r="167" spans="1:5" x14ac:dyDescent="0.3">
      <c r="A167" s="99" t="s">
        <v>592</v>
      </c>
      <c r="B167" s="99" t="s">
        <v>593</v>
      </c>
      <c r="C167" s="100" t="s">
        <v>589</v>
      </c>
      <c r="D167" s="99"/>
      <c r="E167" s="99"/>
    </row>
    <row r="168" spans="1:5" x14ac:dyDescent="0.3">
      <c r="A168" s="99" t="s">
        <v>594</v>
      </c>
      <c r="B168" s="99" t="s">
        <v>595</v>
      </c>
      <c r="C168" s="100" t="s">
        <v>589</v>
      </c>
      <c r="D168" s="99"/>
      <c r="E168" s="99"/>
    </row>
    <row r="169" spans="1:5" x14ac:dyDescent="0.3">
      <c r="A169" s="99" t="s">
        <v>596</v>
      </c>
      <c r="B169" s="99" t="s">
        <v>597</v>
      </c>
      <c r="C169" s="100" t="s">
        <v>589</v>
      </c>
      <c r="D169" s="99"/>
      <c r="E169" s="99"/>
    </row>
    <row r="170" spans="1:5" x14ac:dyDescent="0.3">
      <c r="A170" s="99" t="s">
        <v>598</v>
      </c>
      <c r="B170" s="99" t="s">
        <v>599</v>
      </c>
      <c r="C170" s="100" t="s">
        <v>589</v>
      </c>
      <c r="D170" s="99"/>
      <c r="E170" s="99"/>
    </row>
    <row r="171" spans="1:5" x14ac:dyDescent="0.3">
      <c r="A171" s="99" t="s">
        <v>600</v>
      </c>
      <c r="B171" s="99" t="s">
        <v>601</v>
      </c>
      <c r="C171" s="100" t="s">
        <v>589</v>
      </c>
      <c r="D171" s="99"/>
      <c r="E171" s="99"/>
    </row>
    <row r="172" spans="1:5" x14ac:dyDescent="0.3">
      <c r="A172" s="99" t="s">
        <v>602</v>
      </c>
      <c r="B172" s="99" t="s">
        <v>603</v>
      </c>
      <c r="C172" s="100" t="s">
        <v>589</v>
      </c>
      <c r="D172" s="99"/>
      <c r="E172" s="99"/>
    </row>
    <row r="173" spans="1:5" x14ac:dyDescent="0.3">
      <c r="A173" s="99" t="s">
        <v>604</v>
      </c>
      <c r="B173" s="99" t="s">
        <v>605</v>
      </c>
      <c r="C173" s="100" t="s">
        <v>589</v>
      </c>
      <c r="D173" s="99"/>
      <c r="E173" s="99"/>
    </row>
    <row r="174" spans="1:5" x14ac:dyDescent="0.3">
      <c r="A174" s="99" t="s">
        <v>606</v>
      </c>
      <c r="B174" s="99" t="s">
        <v>607</v>
      </c>
      <c r="C174" s="100" t="s">
        <v>589</v>
      </c>
      <c r="D174" s="99"/>
      <c r="E174" s="99"/>
    </row>
    <row r="175" spans="1:5" x14ac:dyDescent="0.3">
      <c r="A175" s="99" t="s">
        <v>608</v>
      </c>
      <c r="B175" s="99" t="s">
        <v>609</v>
      </c>
      <c r="C175" s="100" t="s">
        <v>589</v>
      </c>
      <c r="D175" s="99"/>
      <c r="E175" s="99"/>
    </row>
    <row r="176" spans="1:5" x14ac:dyDescent="0.3">
      <c r="A176" s="99" t="s">
        <v>610</v>
      </c>
      <c r="B176" s="99" t="s">
        <v>611</v>
      </c>
      <c r="C176" s="100" t="s">
        <v>589</v>
      </c>
      <c r="D176" s="99"/>
      <c r="E176" s="99"/>
    </row>
    <row r="177" spans="1:5" x14ac:dyDescent="0.3">
      <c r="A177" s="99" t="s">
        <v>612</v>
      </c>
      <c r="B177" s="99" t="s">
        <v>613</v>
      </c>
      <c r="C177" s="100" t="s">
        <v>589</v>
      </c>
      <c r="D177" s="99"/>
      <c r="E177" s="99"/>
    </row>
    <row r="178" spans="1:5" x14ac:dyDescent="0.3">
      <c r="A178" s="99" t="s">
        <v>614</v>
      </c>
      <c r="B178" s="99" t="s">
        <v>615</v>
      </c>
      <c r="C178" s="100" t="s">
        <v>589</v>
      </c>
      <c r="D178" s="99"/>
      <c r="E178" s="99"/>
    </row>
    <row r="179" spans="1:5" x14ac:dyDescent="0.3">
      <c r="A179" s="99" t="s">
        <v>616</v>
      </c>
      <c r="B179" s="99" t="s">
        <v>617</v>
      </c>
      <c r="C179" s="100" t="s">
        <v>589</v>
      </c>
      <c r="D179" s="99"/>
      <c r="E179" s="99"/>
    </row>
    <row r="180" spans="1:5" x14ac:dyDescent="0.3">
      <c r="A180" s="99" t="s">
        <v>618</v>
      </c>
      <c r="B180" s="99" t="s">
        <v>619</v>
      </c>
      <c r="C180" s="100" t="s">
        <v>589</v>
      </c>
      <c r="D180" s="99"/>
      <c r="E180" s="99"/>
    </row>
    <row r="181" spans="1:5" x14ac:dyDescent="0.3">
      <c r="A181" s="99" t="s">
        <v>620</v>
      </c>
      <c r="B181" s="99" t="s">
        <v>621</v>
      </c>
      <c r="C181" s="100" t="s">
        <v>589</v>
      </c>
      <c r="D181" s="99"/>
      <c r="E181" s="99"/>
    </row>
    <row r="182" spans="1:5" x14ac:dyDescent="0.3">
      <c r="A182" s="99" t="s">
        <v>622</v>
      </c>
      <c r="B182" s="99" t="s">
        <v>623</v>
      </c>
      <c r="C182" s="100" t="s">
        <v>589</v>
      </c>
      <c r="D182" s="99"/>
      <c r="E182" s="99"/>
    </row>
    <row r="183" spans="1:5" x14ac:dyDescent="0.3">
      <c r="A183" s="99" t="s">
        <v>624</v>
      </c>
      <c r="B183" s="99" t="s">
        <v>625</v>
      </c>
      <c r="C183" s="100" t="s">
        <v>626</v>
      </c>
      <c r="D183" s="99"/>
      <c r="E183" s="99"/>
    </row>
    <row r="184" spans="1:5" x14ac:dyDescent="0.3">
      <c r="A184" s="99" t="s">
        <v>627</v>
      </c>
      <c r="B184" s="99" t="s">
        <v>628</v>
      </c>
      <c r="C184" s="100" t="s">
        <v>629</v>
      </c>
      <c r="D184" s="99"/>
      <c r="E184" s="99"/>
    </row>
    <row r="185" spans="1:5" x14ac:dyDescent="0.3">
      <c r="A185" s="99" t="s">
        <v>630</v>
      </c>
      <c r="B185" s="99" t="s">
        <v>631</v>
      </c>
      <c r="C185" s="100" t="s">
        <v>629</v>
      </c>
      <c r="D185" s="99"/>
      <c r="E185" s="99"/>
    </row>
    <row r="186" spans="1:5" x14ac:dyDescent="0.3">
      <c r="A186" s="99" t="s">
        <v>632</v>
      </c>
      <c r="B186" s="99" t="s">
        <v>633</v>
      </c>
      <c r="C186" s="100" t="s">
        <v>629</v>
      </c>
      <c r="D186" s="99"/>
      <c r="E186" s="99"/>
    </row>
    <row r="187" spans="1:5" x14ac:dyDescent="0.3">
      <c r="A187" s="99" t="s">
        <v>634</v>
      </c>
      <c r="B187" s="99" t="s">
        <v>635</v>
      </c>
      <c r="C187" s="100" t="s">
        <v>629</v>
      </c>
      <c r="D187" s="99"/>
      <c r="E187" s="99"/>
    </row>
    <row r="188" spans="1:5" x14ac:dyDescent="0.3">
      <c r="A188" s="99" t="s">
        <v>636</v>
      </c>
      <c r="B188" s="99" t="s">
        <v>637</v>
      </c>
      <c r="C188" s="100" t="s">
        <v>629</v>
      </c>
      <c r="D188" s="99"/>
      <c r="E188" s="99"/>
    </row>
    <row r="189" spans="1:5" x14ac:dyDescent="0.3">
      <c r="A189" s="99" t="s">
        <v>638</v>
      </c>
      <c r="B189" s="99" t="s">
        <v>639</v>
      </c>
      <c r="C189" s="100" t="s">
        <v>629</v>
      </c>
      <c r="D189" s="99"/>
      <c r="E189" s="99"/>
    </row>
    <row r="190" spans="1:5" x14ac:dyDescent="0.3">
      <c r="A190" s="99" t="s">
        <v>640</v>
      </c>
      <c r="B190" s="99" t="s">
        <v>641</v>
      </c>
      <c r="C190" s="100" t="s">
        <v>629</v>
      </c>
      <c r="D190" s="99"/>
      <c r="E190" s="99"/>
    </row>
    <row r="191" spans="1:5" x14ac:dyDescent="0.3">
      <c r="A191" s="99" t="s">
        <v>642</v>
      </c>
      <c r="B191" s="99" t="s">
        <v>643</v>
      </c>
      <c r="C191" s="100" t="s">
        <v>629</v>
      </c>
      <c r="D191" s="99"/>
      <c r="E191" s="99"/>
    </row>
    <row r="192" spans="1:5" x14ac:dyDescent="0.3">
      <c r="A192" s="99" t="s">
        <v>644</v>
      </c>
      <c r="B192" s="99" t="s">
        <v>645</v>
      </c>
      <c r="C192" s="100" t="s">
        <v>629</v>
      </c>
      <c r="D192" s="99"/>
      <c r="E192" s="99"/>
    </row>
    <row r="193" spans="1:5" x14ac:dyDescent="0.3">
      <c r="A193" s="99" t="s">
        <v>646</v>
      </c>
      <c r="B193" s="99" t="s">
        <v>647</v>
      </c>
      <c r="C193" s="100" t="s">
        <v>629</v>
      </c>
      <c r="D193" s="99"/>
      <c r="E193" s="99"/>
    </row>
    <row r="194" spans="1:5" x14ac:dyDescent="0.3">
      <c r="A194" s="99" t="s">
        <v>648</v>
      </c>
      <c r="B194" s="99" t="s">
        <v>649</v>
      </c>
      <c r="C194" s="100" t="s">
        <v>629</v>
      </c>
      <c r="D194" s="99"/>
      <c r="E194" s="99"/>
    </row>
    <row r="195" spans="1:5" x14ac:dyDescent="0.3">
      <c r="A195" s="99" t="s">
        <v>650</v>
      </c>
      <c r="B195" s="99" t="s">
        <v>651</v>
      </c>
      <c r="C195" s="100" t="s">
        <v>629</v>
      </c>
      <c r="D195" s="99"/>
      <c r="E195" s="99"/>
    </row>
    <row r="196" spans="1:5" x14ac:dyDescent="0.3">
      <c r="A196" s="99" t="s">
        <v>652</v>
      </c>
      <c r="B196" s="99" t="s">
        <v>653</v>
      </c>
      <c r="C196" s="100" t="s">
        <v>629</v>
      </c>
      <c r="D196" s="99"/>
      <c r="E196" s="99"/>
    </row>
    <row r="197" spans="1:5" x14ac:dyDescent="0.3">
      <c r="A197" s="99" t="s">
        <v>654</v>
      </c>
      <c r="B197" s="99" t="s">
        <v>655</v>
      </c>
      <c r="C197" s="100" t="s">
        <v>629</v>
      </c>
      <c r="D197" s="99"/>
      <c r="E197" s="99"/>
    </row>
    <row r="198" spans="1:5" x14ac:dyDescent="0.3">
      <c r="A198" s="99" t="s">
        <v>656</v>
      </c>
      <c r="B198" s="99" t="s">
        <v>657</v>
      </c>
      <c r="C198" s="100" t="s">
        <v>629</v>
      </c>
      <c r="D198" s="99"/>
      <c r="E198" s="99"/>
    </row>
    <row r="199" spans="1:5" x14ac:dyDescent="0.3">
      <c r="A199" s="99" t="s">
        <v>658</v>
      </c>
      <c r="B199" s="99" t="s">
        <v>659</v>
      </c>
      <c r="C199" s="100" t="s">
        <v>629</v>
      </c>
      <c r="D199" s="99"/>
      <c r="E199" s="99"/>
    </row>
    <row r="200" spans="1:5" x14ac:dyDescent="0.3">
      <c r="A200" s="99" t="s">
        <v>660</v>
      </c>
      <c r="B200" s="99" t="s">
        <v>661</v>
      </c>
      <c r="C200" s="100" t="s">
        <v>629</v>
      </c>
      <c r="D200" s="99"/>
      <c r="E200" s="99"/>
    </row>
    <row r="201" spans="1:5" x14ac:dyDescent="0.3">
      <c r="A201" s="99" t="s">
        <v>662</v>
      </c>
      <c r="B201" s="99" t="s">
        <v>663</v>
      </c>
      <c r="C201" s="100" t="s">
        <v>629</v>
      </c>
      <c r="D201" s="99"/>
      <c r="E201" s="99"/>
    </row>
    <row r="202" spans="1:5" x14ac:dyDescent="0.3">
      <c r="A202" s="99" t="s">
        <v>664</v>
      </c>
      <c r="B202" s="99" t="s">
        <v>665</v>
      </c>
      <c r="C202" s="100" t="s">
        <v>629</v>
      </c>
      <c r="D202" s="99"/>
      <c r="E202" s="99"/>
    </row>
    <row r="203" spans="1:5" x14ac:dyDescent="0.3">
      <c r="A203" s="99" t="s">
        <v>666</v>
      </c>
      <c r="B203" s="99" t="s">
        <v>667</v>
      </c>
      <c r="C203" s="100" t="s">
        <v>629</v>
      </c>
      <c r="D203" s="99"/>
      <c r="E203" s="99"/>
    </row>
    <row r="204" spans="1:5" x14ac:dyDescent="0.3">
      <c r="A204" s="99" t="s">
        <v>668</v>
      </c>
      <c r="B204" s="99" t="s">
        <v>669</v>
      </c>
      <c r="C204" s="100" t="s">
        <v>629</v>
      </c>
      <c r="D204" s="99"/>
      <c r="E204" s="99"/>
    </row>
    <row r="205" spans="1:5" x14ac:dyDescent="0.3">
      <c r="A205" s="99" t="s">
        <v>670</v>
      </c>
      <c r="B205" s="99" t="s">
        <v>671</v>
      </c>
      <c r="C205" s="100" t="s">
        <v>629</v>
      </c>
      <c r="D205" s="99"/>
      <c r="E205" s="99"/>
    </row>
    <row r="206" spans="1:5" x14ac:dyDescent="0.3">
      <c r="A206" s="99" t="s">
        <v>672</v>
      </c>
      <c r="B206" s="99" t="s">
        <v>673</v>
      </c>
      <c r="C206" s="100" t="s">
        <v>629</v>
      </c>
      <c r="D206" s="99"/>
      <c r="E206" s="99"/>
    </row>
    <row r="207" spans="1:5" x14ac:dyDescent="0.3">
      <c r="A207" s="99" t="s">
        <v>674</v>
      </c>
      <c r="B207" s="99" t="s">
        <v>675</v>
      </c>
      <c r="C207" s="100" t="s">
        <v>629</v>
      </c>
      <c r="D207" s="99"/>
      <c r="E207" s="99"/>
    </row>
    <row r="208" spans="1:5" x14ac:dyDescent="0.3">
      <c r="A208" s="99" t="s">
        <v>676</v>
      </c>
      <c r="B208" s="99" t="s">
        <v>677</v>
      </c>
      <c r="C208" s="100" t="s">
        <v>629</v>
      </c>
      <c r="D208" s="99"/>
      <c r="E208" s="99"/>
    </row>
    <row r="209" spans="1:5" x14ac:dyDescent="0.3">
      <c r="A209" s="99" t="s">
        <v>678</v>
      </c>
      <c r="B209" s="99" t="s">
        <v>679</v>
      </c>
      <c r="C209" s="100" t="s">
        <v>629</v>
      </c>
      <c r="D209" s="99"/>
      <c r="E209" s="99"/>
    </row>
    <row r="210" spans="1:5" x14ac:dyDescent="0.3">
      <c r="A210" s="99" t="s">
        <v>680</v>
      </c>
      <c r="B210" s="99" t="s">
        <v>681</v>
      </c>
      <c r="C210" s="100" t="s">
        <v>629</v>
      </c>
      <c r="D210" s="99"/>
      <c r="E210" s="99"/>
    </row>
    <row r="211" spans="1:5" x14ac:dyDescent="0.3">
      <c r="A211" s="99" t="s">
        <v>682</v>
      </c>
      <c r="B211" s="99" t="s">
        <v>683</v>
      </c>
      <c r="C211" s="100" t="s">
        <v>629</v>
      </c>
      <c r="D211" s="99"/>
      <c r="E211" s="99"/>
    </row>
    <row r="212" spans="1:5" x14ac:dyDescent="0.3">
      <c r="A212" s="99" t="s">
        <v>684</v>
      </c>
      <c r="B212" s="99" t="s">
        <v>685</v>
      </c>
      <c r="C212" s="100" t="s">
        <v>629</v>
      </c>
      <c r="D212" s="99"/>
      <c r="E212" s="99"/>
    </row>
    <row r="213" spans="1:5" x14ac:dyDescent="0.3">
      <c r="A213" s="99" t="s">
        <v>686</v>
      </c>
      <c r="B213" s="99" t="s">
        <v>687</v>
      </c>
      <c r="C213" s="100" t="s">
        <v>629</v>
      </c>
      <c r="D213" s="99"/>
      <c r="E213" s="99"/>
    </row>
    <row r="214" spans="1:5" x14ac:dyDescent="0.3">
      <c r="A214" s="99" t="s">
        <v>688</v>
      </c>
      <c r="B214" s="99" t="s">
        <v>689</v>
      </c>
      <c r="C214" s="100" t="s">
        <v>629</v>
      </c>
      <c r="D214" s="99"/>
      <c r="E214" s="99"/>
    </row>
    <row r="215" spans="1:5" x14ac:dyDescent="0.3">
      <c r="A215" s="99" t="s">
        <v>690</v>
      </c>
      <c r="B215" s="99" t="s">
        <v>691</v>
      </c>
      <c r="C215" s="100" t="s">
        <v>629</v>
      </c>
      <c r="D215" s="99"/>
      <c r="E215" s="99"/>
    </row>
    <row r="216" spans="1:5" x14ac:dyDescent="0.3">
      <c r="A216" s="99" t="s">
        <v>692</v>
      </c>
      <c r="B216" s="99" t="s">
        <v>693</v>
      </c>
      <c r="C216" s="100" t="s">
        <v>694</v>
      </c>
      <c r="D216" s="99"/>
      <c r="E216" s="99"/>
    </row>
    <row r="217" spans="1:5" x14ac:dyDescent="0.3">
      <c r="A217" s="99" t="s">
        <v>695</v>
      </c>
      <c r="B217" s="99" t="s">
        <v>696</v>
      </c>
      <c r="C217" s="100" t="s">
        <v>694</v>
      </c>
      <c r="D217" s="99"/>
      <c r="E217" s="99"/>
    </row>
    <row r="218" spans="1:5" x14ac:dyDescent="0.3">
      <c r="A218" s="99" t="s">
        <v>697</v>
      </c>
      <c r="B218" s="99" t="s">
        <v>698</v>
      </c>
      <c r="C218" s="100" t="s">
        <v>694</v>
      </c>
      <c r="D218" s="99"/>
      <c r="E218" s="99"/>
    </row>
    <row r="219" spans="1:5" x14ac:dyDescent="0.3">
      <c r="A219" s="99" t="s">
        <v>699</v>
      </c>
      <c r="B219" s="99" t="s">
        <v>700</v>
      </c>
      <c r="C219" s="100" t="s">
        <v>694</v>
      </c>
      <c r="D219" s="99"/>
      <c r="E219" s="99"/>
    </row>
    <row r="220" spans="1:5" x14ac:dyDescent="0.3">
      <c r="A220" s="99" t="s">
        <v>701</v>
      </c>
      <c r="B220" s="99" t="s">
        <v>702</v>
      </c>
      <c r="C220" s="100" t="s">
        <v>694</v>
      </c>
      <c r="D220" s="99"/>
      <c r="E220" s="99"/>
    </row>
    <row r="221" spans="1:5" x14ac:dyDescent="0.3">
      <c r="A221" s="99" t="s">
        <v>703</v>
      </c>
      <c r="B221" s="99" t="s">
        <v>704</v>
      </c>
      <c r="C221" s="100" t="s">
        <v>694</v>
      </c>
      <c r="D221" s="99"/>
      <c r="E221" s="99"/>
    </row>
    <row r="222" spans="1:5" x14ac:dyDescent="0.3">
      <c r="A222" s="99" t="s">
        <v>705</v>
      </c>
      <c r="B222" s="99" t="s">
        <v>706</v>
      </c>
      <c r="C222" s="100" t="s">
        <v>694</v>
      </c>
      <c r="D222" s="99"/>
      <c r="E222" s="99"/>
    </row>
    <row r="223" spans="1:5" x14ac:dyDescent="0.3">
      <c r="A223" s="99" t="s">
        <v>707</v>
      </c>
      <c r="B223" s="99" t="s">
        <v>708</v>
      </c>
      <c r="C223" s="100" t="s">
        <v>694</v>
      </c>
      <c r="D223" s="99"/>
      <c r="E223" s="99"/>
    </row>
    <row r="224" spans="1:5" x14ac:dyDescent="0.3">
      <c r="A224" s="99" t="s">
        <v>709</v>
      </c>
      <c r="B224" s="99" t="s">
        <v>710</v>
      </c>
      <c r="C224" s="100" t="s">
        <v>694</v>
      </c>
      <c r="D224" s="99"/>
      <c r="E224" s="99"/>
    </row>
    <row r="225" spans="1:5" x14ac:dyDescent="0.3">
      <c r="A225" s="99" t="s">
        <v>711</v>
      </c>
      <c r="B225" s="99" t="s">
        <v>712</v>
      </c>
      <c r="C225" s="100" t="s">
        <v>694</v>
      </c>
      <c r="D225" s="99"/>
      <c r="E225" s="99"/>
    </row>
    <row r="226" spans="1:5" x14ac:dyDescent="0.3">
      <c r="A226" s="99" t="s">
        <v>713</v>
      </c>
      <c r="B226" s="99" t="s">
        <v>714</v>
      </c>
      <c r="C226" s="100" t="s">
        <v>694</v>
      </c>
      <c r="D226" s="99"/>
      <c r="E226" s="99"/>
    </row>
    <row r="227" spans="1:5" x14ac:dyDescent="0.3">
      <c r="A227" s="99" t="s">
        <v>715</v>
      </c>
      <c r="B227" s="99" t="s">
        <v>716</v>
      </c>
      <c r="C227" s="100" t="s">
        <v>694</v>
      </c>
      <c r="D227" s="99"/>
      <c r="E227" s="99"/>
    </row>
    <row r="228" spans="1:5" x14ac:dyDescent="0.3">
      <c r="A228" s="99" t="s">
        <v>717</v>
      </c>
      <c r="B228" s="99" t="s">
        <v>718</v>
      </c>
      <c r="C228" s="100" t="s">
        <v>694</v>
      </c>
      <c r="D228" s="99"/>
      <c r="E228" s="99"/>
    </row>
    <row r="229" spans="1:5" x14ac:dyDescent="0.3">
      <c r="A229" s="99" t="s">
        <v>719</v>
      </c>
      <c r="B229" s="99" t="s">
        <v>720</v>
      </c>
      <c r="C229" s="100" t="s">
        <v>694</v>
      </c>
      <c r="D229" s="99"/>
      <c r="E229" s="99"/>
    </row>
    <row r="230" spans="1:5" x14ac:dyDescent="0.3">
      <c r="A230" s="99" t="s">
        <v>721</v>
      </c>
      <c r="B230" s="99" t="s">
        <v>722</v>
      </c>
      <c r="C230" s="100" t="s">
        <v>694</v>
      </c>
      <c r="D230" s="99"/>
      <c r="E230" s="99"/>
    </row>
    <row r="231" spans="1:5" x14ac:dyDescent="0.3">
      <c r="A231" s="99" t="s">
        <v>723</v>
      </c>
      <c r="B231" s="99" t="s">
        <v>724</v>
      </c>
      <c r="C231" s="100" t="s">
        <v>694</v>
      </c>
      <c r="D231" s="99"/>
      <c r="E231" s="99"/>
    </row>
    <row r="232" spans="1:5" x14ac:dyDescent="0.3">
      <c r="A232" s="99" t="s">
        <v>725</v>
      </c>
      <c r="B232" s="99" t="s">
        <v>726</v>
      </c>
      <c r="C232" s="100" t="s">
        <v>694</v>
      </c>
      <c r="D232" s="99"/>
      <c r="E232" s="99"/>
    </row>
    <row r="233" spans="1:5" x14ac:dyDescent="0.3">
      <c r="A233" s="99" t="s">
        <v>727</v>
      </c>
      <c r="B233" s="99" t="s">
        <v>728</v>
      </c>
      <c r="C233" s="100" t="s">
        <v>694</v>
      </c>
      <c r="D233" s="99"/>
      <c r="E233" s="99"/>
    </row>
    <row r="234" spans="1:5" x14ac:dyDescent="0.3">
      <c r="A234" s="99" t="s">
        <v>729</v>
      </c>
      <c r="B234" s="99" t="s">
        <v>730</v>
      </c>
      <c r="C234" s="100" t="s">
        <v>694</v>
      </c>
      <c r="D234" s="99"/>
      <c r="E234" s="99"/>
    </row>
    <row r="235" spans="1:5" x14ac:dyDescent="0.3">
      <c r="A235" s="99" t="s">
        <v>731</v>
      </c>
      <c r="B235" s="99" t="s">
        <v>732</v>
      </c>
      <c r="C235" s="100" t="s">
        <v>694</v>
      </c>
      <c r="D235" s="99"/>
      <c r="E235" s="99"/>
    </row>
    <row r="236" spans="1:5" x14ac:dyDescent="0.3">
      <c r="A236" s="99" t="s">
        <v>733</v>
      </c>
      <c r="B236" s="99" t="s">
        <v>734</v>
      </c>
      <c r="C236" s="100" t="s">
        <v>694</v>
      </c>
      <c r="D236" s="99"/>
      <c r="E236" s="99"/>
    </row>
    <row r="237" spans="1:5" x14ac:dyDescent="0.3">
      <c r="A237" s="99" t="s">
        <v>735</v>
      </c>
      <c r="B237" s="99" t="s">
        <v>736</v>
      </c>
      <c r="C237" s="100" t="s">
        <v>694</v>
      </c>
      <c r="D237" s="99"/>
      <c r="E237" s="99"/>
    </row>
    <row r="238" spans="1:5" x14ac:dyDescent="0.3">
      <c r="A238" s="99" t="s">
        <v>737</v>
      </c>
      <c r="B238" s="99" t="s">
        <v>738</v>
      </c>
      <c r="C238" s="100" t="s">
        <v>694</v>
      </c>
      <c r="D238" s="99"/>
      <c r="E238" s="99"/>
    </row>
    <row r="239" spans="1:5" x14ac:dyDescent="0.3">
      <c r="A239" s="99" t="s">
        <v>739</v>
      </c>
      <c r="B239" s="99" t="s">
        <v>740</v>
      </c>
      <c r="C239" s="100" t="s">
        <v>694</v>
      </c>
      <c r="D239" s="99"/>
      <c r="E239" s="99"/>
    </row>
    <row r="240" spans="1:5" x14ac:dyDescent="0.3">
      <c r="A240" s="99" t="s">
        <v>741</v>
      </c>
      <c r="B240" s="99" t="s">
        <v>742</v>
      </c>
      <c r="C240" s="100" t="s">
        <v>694</v>
      </c>
      <c r="D240" s="99"/>
      <c r="E240" s="99"/>
    </row>
    <row r="241" spans="1:5" x14ac:dyDescent="0.3">
      <c r="A241" s="99" t="s">
        <v>743</v>
      </c>
      <c r="B241" s="99" t="s">
        <v>744</v>
      </c>
      <c r="C241" s="100" t="s">
        <v>694</v>
      </c>
      <c r="D241" s="99"/>
      <c r="E241" s="99"/>
    </row>
    <row r="242" spans="1:5" x14ac:dyDescent="0.3">
      <c r="A242" s="99" t="s">
        <v>745</v>
      </c>
      <c r="B242" s="99" t="s">
        <v>746</v>
      </c>
      <c r="C242" s="100" t="s">
        <v>694</v>
      </c>
      <c r="D242" s="99"/>
      <c r="E242" s="99"/>
    </row>
    <row r="243" spans="1:5" x14ac:dyDescent="0.3">
      <c r="A243" s="99" t="s">
        <v>747</v>
      </c>
      <c r="B243" s="99" t="s">
        <v>748</v>
      </c>
      <c r="C243" s="100" t="s">
        <v>694</v>
      </c>
      <c r="D243" s="99"/>
      <c r="E243" s="99"/>
    </row>
    <row r="244" spans="1:5" x14ac:dyDescent="0.3">
      <c r="A244" s="99" t="s">
        <v>749</v>
      </c>
      <c r="B244" s="99" t="s">
        <v>750</v>
      </c>
      <c r="C244" s="100" t="s">
        <v>694</v>
      </c>
      <c r="D244" s="99"/>
      <c r="E244" s="99"/>
    </row>
    <row r="245" spans="1:5" x14ac:dyDescent="0.3">
      <c r="A245" s="99" t="s">
        <v>751</v>
      </c>
      <c r="B245" s="99" t="s">
        <v>752</v>
      </c>
      <c r="C245" s="100" t="s">
        <v>694</v>
      </c>
      <c r="D245" s="99"/>
      <c r="E245" s="99"/>
    </row>
    <row r="246" spans="1:5" x14ac:dyDescent="0.3">
      <c r="A246" s="99" t="s">
        <v>753</v>
      </c>
      <c r="B246" s="99" t="s">
        <v>754</v>
      </c>
      <c r="C246" s="100" t="s">
        <v>694</v>
      </c>
      <c r="D246" s="99"/>
      <c r="E246" s="99"/>
    </row>
    <row r="247" spans="1:5" x14ac:dyDescent="0.3">
      <c r="A247" s="99" t="s">
        <v>755</v>
      </c>
      <c r="B247" s="99" t="s">
        <v>756</v>
      </c>
      <c r="C247" s="100" t="s">
        <v>694</v>
      </c>
      <c r="D247" s="99"/>
      <c r="E247" s="99"/>
    </row>
    <row r="248" spans="1:5" x14ac:dyDescent="0.3">
      <c r="A248" s="99" t="s">
        <v>757</v>
      </c>
      <c r="B248" s="99" t="s">
        <v>758</v>
      </c>
      <c r="C248" s="100" t="s">
        <v>694</v>
      </c>
      <c r="D248" s="99"/>
      <c r="E248" s="99"/>
    </row>
    <row r="249" spans="1:5" x14ac:dyDescent="0.3">
      <c r="A249" s="99" t="s">
        <v>759</v>
      </c>
      <c r="B249" s="99" t="s">
        <v>760</v>
      </c>
      <c r="C249" s="100" t="s">
        <v>761</v>
      </c>
      <c r="D249" s="99"/>
      <c r="E249" s="99"/>
    </row>
    <row r="250" spans="1:5" x14ac:dyDescent="0.3">
      <c r="A250" s="99" t="s">
        <v>762</v>
      </c>
      <c r="B250" s="99" t="s">
        <v>763</v>
      </c>
      <c r="C250" s="100" t="s">
        <v>764</v>
      </c>
      <c r="D250" s="99"/>
      <c r="E250" s="99"/>
    </row>
    <row r="251" spans="1:5" x14ac:dyDescent="0.3">
      <c r="A251" s="99" t="s">
        <v>765</v>
      </c>
      <c r="B251" s="99" t="s">
        <v>766</v>
      </c>
      <c r="C251" s="100" t="s">
        <v>764</v>
      </c>
      <c r="D251" s="99"/>
      <c r="E251" s="99"/>
    </row>
    <row r="252" spans="1:5" x14ac:dyDescent="0.3">
      <c r="A252" s="99" t="s">
        <v>767</v>
      </c>
      <c r="B252" s="99" t="s">
        <v>768</v>
      </c>
      <c r="C252" s="100" t="s">
        <v>764</v>
      </c>
      <c r="D252" s="99"/>
      <c r="E252" s="99"/>
    </row>
    <row r="253" spans="1:5" x14ac:dyDescent="0.3">
      <c r="A253" s="99" t="s">
        <v>769</v>
      </c>
      <c r="B253" s="99" t="s">
        <v>770</v>
      </c>
      <c r="C253" s="100" t="s">
        <v>764</v>
      </c>
      <c r="D253" s="99"/>
      <c r="E253" s="99"/>
    </row>
    <row r="254" spans="1:5" x14ac:dyDescent="0.3">
      <c r="A254" s="99" t="s">
        <v>771</v>
      </c>
      <c r="B254" s="99" t="s">
        <v>772</v>
      </c>
      <c r="C254" s="100" t="s">
        <v>764</v>
      </c>
      <c r="D254" s="99"/>
      <c r="E254" s="99"/>
    </row>
    <row r="255" spans="1:5" x14ac:dyDescent="0.3">
      <c r="A255" s="99" t="s">
        <v>773</v>
      </c>
      <c r="B255" s="99" t="s">
        <v>774</v>
      </c>
      <c r="C255" s="100" t="s">
        <v>764</v>
      </c>
      <c r="D255" s="99"/>
      <c r="E255" s="99"/>
    </row>
    <row r="256" spans="1:5" x14ac:dyDescent="0.3">
      <c r="A256" s="99" t="s">
        <v>775</v>
      </c>
      <c r="B256" s="99" t="s">
        <v>776</v>
      </c>
      <c r="C256" s="100" t="s">
        <v>764</v>
      </c>
      <c r="D256" s="99"/>
      <c r="E256" s="99"/>
    </row>
    <row r="257" spans="1:5" x14ac:dyDescent="0.3">
      <c r="A257" s="99" t="s">
        <v>777</v>
      </c>
      <c r="B257" s="99" t="s">
        <v>778</v>
      </c>
      <c r="C257" s="100" t="s">
        <v>764</v>
      </c>
      <c r="D257" s="99"/>
      <c r="E257" s="99"/>
    </row>
    <row r="258" spans="1:5" x14ac:dyDescent="0.3">
      <c r="A258" s="99" t="s">
        <v>779</v>
      </c>
      <c r="B258" s="99" t="s">
        <v>780</v>
      </c>
      <c r="C258" s="100" t="s">
        <v>764</v>
      </c>
      <c r="D258" s="99"/>
      <c r="E258" s="99"/>
    </row>
    <row r="259" spans="1:5" x14ac:dyDescent="0.3">
      <c r="A259" s="99" t="s">
        <v>781</v>
      </c>
      <c r="B259" s="99" t="s">
        <v>782</v>
      </c>
      <c r="C259" s="100" t="s">
        <v>764</v>
      </c>
      <c r="D259" s="99"/>
      <c r="E259" s="99"/>
    </row>
    <row r="260" spans="1:5" x14ac:dyDescent="0.3">
      <c r="A260" s="99" t="s">
        <v>783</v>
      </c>
      <c r="B260" s="99" t="s">
        <v>784</v>
      </c>
      <c r="C260" s="100" t="s">
        <v>764</v>
      </c>
      <c r="D260" s="99"/>
      <c r="E260" s="99"/>
    </row>
    <row r="261" spans="1:5" x14ac:dyDescent="0.3">
      <c r="A261" s="99" t="s">
        <v>785</v>
      </c>
      <c r="B261" s="99" t="s">
        <v>786</v>
      </c>
      <c r="C261" s="100" t="s">
        <v>764</v>
      </c>
      <c r="D261" s="99"/>
      <c r="E261" s="99"/>
    </row>
    <row r="262" spans="1:5" x14ac:dyDescent="0.3">
      <c r="A262" s="99" t="s">
        <v>787</v>
      </c>
      <c r="B262" s="99" t="s">
        <v>788</v>
      </c>
      <c r="C262" s="100" t="s">
        <v>764</v>
      </c>
      <c r="D262" s="99"/>
      <c r="E262" s="99"/>
    </row>
    <row r="263" spans="1:5" x14ac:dyDescent="0.3">
      <c r="A263" s="99" t="s">
        <v>789</v>
      </c>
      <c r="B263" s="99" t="s">
        <v>790</v>
      </c>
      <c r="C263" s="100" t="s">
        <v>764</v>
      </c>
      <c r="D263" s="99"/>
      <c r="E263" s="99"/>
    </row>
    <row r="264" spans="1:5" x14ac:dyDescent="0.3">
      <c r="A264" s="99" t="s">
        <v>791</v>
      </c>
      <c r="B264" s="99" t="s">
        <v>792</v>
      </c>
      <c r="C264" s="100" t="s">
        <v>764</v>
      </c>
      <c r="D264" s="99"/>
      <c r="E264" s="99"/>
    </row>
    <row r="265" spans="1:5" x14ac:dyDescent="0.3">
      <c r="A265" s="99" t="s">
        <v>793</v>
      </c>
      <c r="B265" s="99" t="s">
        <v>794</v>
      </c>
      <c r="C265" s="100" t="s">
        <v>764</v>
      </c>
      <c r="D265" s="99"/>
      <c r="E265" s="99"/>
    </row>
    <row r="266" spans="1:5" x14ac:dyDescent="0.3">
      <c r="A266" s="99" t="s">
        <v>795</v>
      </c>
      <c r="B266" s="99" t="s">
        <v>796</v>
      </c>
      <c r="C266" s="100" t="s">
        <v>764</v>
      </c>
      <c r="D266" s="99"/>
      <c r="E266" s="99"/>
    </row>
    <row r="267" spans="1:5" x14ac:dyDescent="0.3">
      <c r="A267" s="99" t="s">
        <v>797</v>
      </c>
      <c r="B267" s="99" t="s">
        <v>798</v>
      </c>
      <c r="C267" s="100" t="s">
        <v>764</v>
      </c>
      <c r="D267" s="99"/>
      <c r="E267" s="99"/>
    </row>
    <row r="268" spans="1:5" x14ac:dyDescent="0.3">
      <c r="A268" s="99" t="s">
        <v>799</v>
      </c>
      <c r="B268" s="99" t="s">
        <v>800</v>
      </c>
      <c r="C268" s="100" t="s">
        <v>764</v>
      </c>
      <c r="D268" s="99"/>
      <c r="E268" s="99"/>
    </row>
    <row r="269" spans="1:5" x14ac:dyDescent="0.3">
      <c r="A269" s="99" t="s">
        <v>801</v>
      </c>
      <c r="B269" s="99" t="s">
        <v>802</v>
      </c>
      <c r="C269" s="100" t="s">
        <v>764</v>
      </c>
      <c r="D269" s="99"/>
      <c r="E269" s="99"/>
    </row>
    <row r="270" spans="1:5" x14ac:dyDescent="0.3">
      <c r="A270" s="99" t="s">
        <v>803</v>
      </c>
      <c r="B270" s="99" t="s">
        <v>804</v>
      </c>
      <c r="C270" s="100" t="s">
        <v>764</v>
      </c>
      <c r="D270" s="99"/>
      <c r="E270" s="99"/>
    </row>
    <row r="271" spans="1:5" x14ac:dyDescent="0.3">
      <c r="A271" s="99" t="s">
        <v>805</v>
      </c>
      <c r="B271" s="99" t="s">
        <v>806</v>
      </c>
      <c r="C271" s="100" t="s">
        <v>764</v>
      </c>
      <c r="D271" s="99"/>
      <c r="E271" s="99"/>
    </row>
    <row r="272" spans="1:5" x14ac:dyDescent="0.3">
      <c r="A272" s="99" t="s">
        <v>807</v>
      </c>
      <c r="B272" s="99" t="s">
        <v>808</v>
      </c>
      <c r="C272" s="100" t="s">
        <v>764</v>
      </c>
      <c r="D272" s="99"/>
      <c r="E272" s="99"/>
    </row>
    <row r="273" spans="1:5" x14ac:dyDescent="0.3">
      <c r="A273" s="99" t="s">
        <v>809</v>
      </c>
      <c r="B273" s="99" t="s">
        <v>810</v>
      </c>
      <c r="C273" s="100" t="s">
        <v>764</v>
      </c>
      <c r="D273" s="99"/>
      <c r="E273" s="99"/>
    </row>
    <row r="274" spans="1:5" x14ac:dyDescent="0.3">
      <c r="A274" s="99" t="s">
        <v>811</v>
      </c>
      <c r="B274" s="99" t="s">
        <v>812</v>
      </c>
      <c r="C274" s="100" t="s">
        <v>764</v>
      </c>
      <c r="D274" s="99"/>
      <c r="E274" s="99"/>
    </row>
    <row r="275" spans="1:5" x14ac:dyDescent="0.3">
      <c r="A275" s="99" t="s">
        <v>813</v>
      </c>
      <c r="B275" s="99" t="s">
        <v>814</v>
      </c>
      <c r="C275" s="100" t="s">
        <v>764</v>
      </c>
      <c r="D275" s="99"/>
      <c r="E275" s="99"/>
    </row>
    <row r="276" spans="1:5" x14ac:dyDescent="0.3">
      <c r="A276" s="99" t="s">
        <v>815</v>
      </c>
      <c r="B276" s="99" t="s">
        <v>816</v>
      </c>
      <c r="C276" s="100" t="s">
        <v>764</v>
      </c>
      <c r="D276" s="99"/>
      <c r="E276" s="99"/>
    </row>
    <row r="277" spans="1:5" x14ac:dyDescent="0.3">
      <c r="A277" s="99" t="s">
        <v>817</v>
      </c>
      <c r="B277" s="99" t="s">
        <v>818</v>
      </c>
      <c r="C277" s="100" t="s">
        <v>764</v>
      </c>
      <c r="D277" s="99"/>
      <c r="E277" s="99"/>
    </row>
    <row r="278" spans="1:5" x14ac:dyDescent="0.3">
      <c r="A278" s="99" t="s">
        <v>819</v>
      </c>
      <c r="B278" s="99" t="s">
        <v>820</v>
      </c>
      <c r="C278" s="100" t="s">
        <v>764</v>
      </c>
      <c r="D278" s="99"/>
      <c r="E278" s="99"/>
    </row>
    <row r="279" spans="1:5" x14ac:dyDescent="0.3">
      <c r="A279" s="99" t="s">
        <v>821</v>
      </c>
      <c r="B279" s="99" t="s">
        <v>822</v>
      </c>
      <c r="C279" s="100" t="s">
        <v>764</v>
      </c>
      <c r="D279" s="99"/>
      <c r="E279" s="99"/>
    </row>
    <row r="280" spans="1:5" x14ac:dyDescent="0.3">
      <c r="A280" s="99" t="s">
        <v>823</v>
      </c>
      <c r="B280" s="99" t="s">
        <v>824</v>
      </c>
      <c r="C280" s="100" t="s">
        <v>764</v>
      </c>
      <c r="D280" s="99"/>
      <c r="E280" s="99"/>
    </row>
    <row r="281" spans="1:5" x14ac:dyDescent="0.3">
      <c r="A281" s="99" t="s">
        <v>825</v>
      </c>
      <c r="B281" s="99" t="s">
        <v>826</v>
      </c>
      <c r="C281" s="100" t="s">
        <v>764</v>
      </c>
      <c r="D281" s="99"/>
      <c r="E281" s="99"/>
    </row>
    <row r="282" spans="1:5" x14ac:dyDescent="0.3">
      <c r="A282" s="99" t="s">
        <v>827</v>
      </c>
      <c r="B282" s="99" t="s">
        <v>828</v>
      </c>
      <c r="C282" s="100" t="s">
        <v>764</v>
      </c>
      <c r="D282" s="99"/>
      <c r="E282" s="99"/>
    </row>
    <row r="283" spans="1:5" x14ac:dyDescent="0.3">
      <c r="A283" s="99" t="s">
        <v>829</v>
      </c>
      <c r="B283" s="99" t="s">
        <v>830</v>
      </c>
      <c r="C283" s="100" t="s">
        <v>764</v>
      </c>
      <c r="D283" s="99"/>
      <c r="E283" s="99"/>
    </row>
    <row r="284" spans="1:5" x14ac:dyDescent="0.3">
      <c r="A284" s="99" t="s">
        <v>831</v>
      </c>
      <c r="B284" s="99" t="s">
        <v>832</v>
      </c>
      <c r="C284" s="100" t="s">
        <v>764</v>
      </c>
      <c r="D284" s="99"/>
      <c r="E284" s="99"/>
    </row>
    <row r="285" spans="1:5" x14ac:dyDescent="0.3">
      <c r="A285" s="99" t="s">
        <v>833</v>
      </c>
      <c r="B285" s="99" t="s">
        <v>834</v>
      </c>
      <c r="C285" s="100" t="s">
        <v>764</v>
      </c>
      <c r="D285" s="99"/>
      <c r="E285" s="99"/>
    </row>
    <row r="286" spans="1:5" x14ac:dyDescent="0.3">
      <c r="A286" s="99" t="s">
        <v>835</v>
      </c>
      <c r="B286" s="99" t="s">
        <v>836</v>
      </c>
      <c r="C286" s="100" t="s">
        <v>837</v>
      </c>
      <c r="D286" s="99"/>
      <c r="E286" s="99"/>
    </row>
    <row r="287" spans="1:5" x14ac:dyDescent="0.3">
      <c r="A287" s="99" t="s">
        <v>838</v>
      </c>
      <c r="B287" s="99" t="s">
        <v>839</v>
      </c>
      <c r="C287" s="100" t="s">
        <v>837</v>
      </c>
      <c r="D287" s="99"/>
      <c r="E287" s="99"/>
    </row>
    <row r="288" spans="1:5" x14ac:dyDescent="0.3">
      <c r="A288" s="99" t="s">
        <v>840</v>
      </c>
      <c r="B288" s="99" t="s">
        <v>841</v>
      </c>
      <c r="C288" s="100" t="s">
        <v>837</v>
      </c>
      <c r="D288" s="99"/>
      <c r="E288" s="99"/>
    </row>
    <row r="289" spans="1:5" x14ac:dyDescent="0.3">
      <c r="A289" s="99" t="s">
        <v>842</v>
      </c>
      <c r="B289" s="99" t="s">
        <v>843</v>
      </c>
      <c r="C289" s="100" t="s">
        <v>837</v>
      </c>
      <c r="D289" s="99"/>
      <c r="E289" s="99"/>
    </row>
    <row r="290" spans="1:5" x14ac:dyDescent="0.3">
      <c r="A290" s="99" t="s">
        <v>844</v>
      </c>
      <c r="B290" s="99" t="s">
        <v>845</v>
      </c>
      <c r="C290" s="100" t="s">
        <v>837</v>
      </c>
      <c r="D290" s="99"/>
      <c r="E290" s="99"/>
    </row>
    <row r="291" spans="1:5" x14ac:dyDescent="0.3">
      <c r="A291" s="99" t="s">
        <v>846</v>
      </c>
      <c r="B291" s="99" t="s">
        <v>847</v>
      </c>
      <c r="C291" s="100" t="s">
        <v>837</v>
      </c>
      <c r="D291" s="99"/>
      <c r="E291" s="99"/>
    </row>
    <row r="292" spans="1:5" x14ac:dyDescent="0.3">
      <c r="A292" s="99" t="s">
        <v>848</v>
      </c>
      <c r="B292" s="99" t="s">
        <v>849</v>
      </c>
      <c r="C292" s="100" t="s">
        <v>837</v>
      </c>
      <c r="D292" s="99"/>
      <c r="E292" s="99"/>
    </row>
    <row r="293" spans="1:5" x14ac:dyDescent="0.3">
      <c r="A293" s="99" t="s">
        <v>850</v>
      </c>
      <c r="B293" s="99" t="s">
        <v>851</v>
      </c>
      <c r="C293" s="100" t="s">
        <v>837</v>
      </c>
      <c r="D293" s="99"/>
      <c r="E293" s="99"/>
    </row>
    <row r="294" spans="1:5" x14ac:dyDescent="0.3">
      <c r="A294" s="99" t="s">
        <v>852</v>
      </c>
      <c r="B294" s="99" t="s">
        <v>853</v>
      </c>
      <c r="C294" s="100" t="s">
        <v>837</v>
      </c>
      <c r="D294" s="99"/>
      <c r="E294" s="99"/>
    </row>
    <row r="295" spans="1:5" x14ac:dyDescent="0.3">
      <c r="A295" s="99" t="s">
        <v>854</v>
      </c>
      <c r="B295" s="99" t="s">
        <v>855</v>
      </c>
      <c r="C295" s="100" t="s">
        <v>837</v>
      </c>
      <c r="D295" s="99"/>
      <c r="E295" s="99"/>
    </row>
    <row r="296" spans="1:5" x14ac:dyDescent="0.3">
      <c r="A296" s="99" t="s">
        <v>856</v>
      </c>
      <c r="B296" s="99" t="s">
        <v>857</v>
      </c>
      <c r="C296" s="100" t="s">
        <v>837</v>
      </c>
      <c r="D296" s="99"/>
      <c r="E296" s="99"/>
    </row>
    <row r="297" spans="1:5" x14ac:dyDescent="0.3">
      <c r="A297" s="99" t="s">
        <v>858</v>
      </c>
      <c r="B297" s="99" t="s">
        <v>859</v>
      </c>
      <c r="C297" s="100" t="s">
        <v>837</v>
      </c>
      <c r="D297" s="99"/>
      <c r="E297" s="99"/>
    </row>
    <row r="298" spans="1:5" x14ac:dyDescent="0.3">
      <c r="A298" s="99" t="s">
        <v>860</v>
      </c>
      <c r="B298" s="99" t="s">
        <v>861</v>
      </c>
      <c r="C298" s="100" t="s">
        <v>837</v>
      </c>
      <c r="D298" s="99"/>
      <c r="E298" s="99"/>
    </row>
    <row r="299" spans="1:5" x14ac:dyDescent="0.3">
      <c r="A299" s="99" t="s">
        <v>862</v>
      </c>
      <c r="B299" s="99" t="s">
        <v>863</v>
      </c>
      <c r="C299" s="100" t="s">
        <v>837</v>
      </c>
      <c r="D299" s="99"/>
      <c r="E299" s="99"/>
    </row>
    <row r="300" spans="1:5" x14ac:dyDescent="0.3">
      <c r="A300" s="99" t="s">
        <v>864</v>
      </c>
      <c r="B300" s="99" t="s">
        <v>865</v>
      </c>
      <c r="C300" s="100" t="s">
        <v>837</v>
      </c>
      <c r="D300" s="99"/>
      <c r="E300" s="99"/>
    </row>
    <row r="301" spans="1:5" x14ac:dyDescent="0.3">
      <c r="A301" s="99" t="s">
        <v>866</v>
      </c>
      <c r="B301" s="99" t="s">
        <v>867</v>
      </c>
      <c r="C301" s="100" t="s">
        <v>837</v>
      </c>
      <c r="D301" s="99"/>
      <c r="E301" s="99"/>
    </row>
    <row r="302" spans="1:5" x14ac:dyDescent="0.3">
      <c r="A302" s="99" t="s">
        <v>868</v>
      </c>
      <c r="B302" s="99" t="s">
        <v>869</v>
      </c>
      <c r="C302" s="100" t="s">
        <v>837</v>
      </c>
      <c r="D302" s="99"/>
      <c r="E302" s="99"/>
    </row>
    <row r="303" spans="1:5" x14ac:dyDescent="0.3">
      <c r="A303" s="99" t="s">
        <v>870</v>
      </c>
      <c r="B303" s="99" t="s">
        <v>871</v>
      </c>
      <c r="C303" s="100" t="s">
        <v>837</v>
      </c>
      <c r="D303" s="99"/>
      <c r="E303" s="99"/>
    </row>
    <row r="304" spans="1:5" x14ac:dyDescent="0.3">
      <c r="A304" s="99" t="s">
        <v>872</v>
      </c>
      <c r="B304" s="99" t="s">
        <v>873</v>
      </c>
      <c r="C304" s="100" t="s">
        <v>837</v>
      </c>
      <c r="D304" s="99"/>
      <c r="E304" s="99"/>
    </row>
    <row r="305" spans="1:5" x14ac:dyDescent="0.3">
      <c r="A305" s="99" t="s">
        <v>874</v>
      </c>
      <c r="B305" s="99" t="s">
        <v>875</v>
      </c>
      <c r="C305" s="100" t="s">
        <v>837</v>
      </c>
      <c r="D305" s="99"/>
      <c r="E305" s="99"/>
    </row>
    <row r="306" spans="1:5" x14ac:dyDescent="0.3">
      <c r="A306" s="99" t="s">
        <v>876</v>
      </c>
      <c r="B306" s="99" t="s">
        <v>877</v>
      </c>
      <c r="C306" s="100" t="s">
        <v>837</v>
      </c>
      <c r="D306" s="99"/>
      <c r="E306" s="99"/>
    </row>
    <row r="307" spans="1:5" x14ac:dyDescent="0.3">
      <c r="A307" s="99" t="s">
        <v>878</v>
      </c>
      <c r="B307" s="99" t="s">
        <v>879</v>
      </c>
      <c r="C307" s="100" t="s">
        <v>837</v>
      </c>
      <c r="D307" s="99"/>
      <c r="E307" s="99"/>
    </row>
    <row r="308" spans="1:5" x14ac:dyDescent="0.3">
      <c r="A308" s="99" t="s">
        <v>880</v>
      </c>
      <c r="B308" s="99" t="s">
        <v>881</v>
      </c>
      <c r="C308" s="100" t="s">
        <v>837</v>
      </c>
      <c r="D308" s="99"/>
      <c r="E308" s="99"/>
    </row>
    <row r="309" spans="1:5" x14ac:dyDescent="0.3">
      <c r="A309" s="99" t="s">
        <v>882</v>
      </c>
      <c r="B309" s="99" t="s">
        <v>883</v>
      </c>
      <c r="C309" s="100" t="s">
        <v>837</v>
      </c>
      <c r="D309" s="99"/>
      <c r="E309" s="99"/>
    </row>
    <row r="310" spans="1:5" x14ac:dyDescent="0.3">
      <c r="A310" s="99" t="s">
        <v>884</v>
      </c>
      <c r="B310" s="99" t="s">
        <v>885</v>
      </c>
      <c r="C310" s="100" t="s">
        <v>837</v>
      </c>
      <c r="D310" s="99"/>
      <c r="E310" s="99"/>
    </row>
    <row r="311" spans="1:5" x14ac:dyDescent="0.3">
      <c r="A311" s="99" t="s">
        <v>886</v>
      </c>
      <c r="B311" s="99" t="s">
        <v>887</v>
      </c>
      <c r="C311" s="100" t="s">
        <v>837</v>
      </c>
      <c r="D311" s="99"/>
      <c r="E311" s="99"/>
    </row>
    <row r="312" spans="1:5" x14ac:dyDescent="0.3">
      <c r="A312" s="99" t="s">
        <v>888</v>
      </c>
      <c r="B312" s="99" t="s">
        <v>889</v>
      </c>
      <c r="C312" s="100" t="s">
        <v>837</v>
      </c>
      <c r="D312" s="99"/>
      <c r="E312" s="99"/>
    </row>
    <row r="313" spans="1:5" x14ac:dyDescent="0.3">
      <c r="A313" s="99" t="s">
        <v>890</v>
      </c>
      <c r="B313" s="99" t="s">
        <v>891</v>
      </c>
      <c r="C313" s="100" t="s">
        <v>892</v>
      </c>
      <c r="D313" s="99"/>
      <c r="E313" s="99"/>
    </row>
    <row r="314" spans="1:5" x14ac:dyDescent="0.3">
      <c r="A314" s="99" t="s">
        <v>893</v>
      </c>
      <c r="B314" s="99" t="s">
        <v>894</v>
      </c>
      <c r="C314" s="100" t="s">
        <v>892</v>
      </c>
      <c r="D314" s="99"/>
      <c r="E314" s="99"/>
    </row>
    <row r="315" spans="1:5" x14ac:dyDescent="0.3">
      <c r="A315" s="99" t="s">
        <v>895</v>
      </c>
      <c r="B315" s="99" t="s">
        <v>896</v>
      </c>
      <c r="C315" s="100" t="s">
        <v>892</v>
      </c>
      <c r="D315" s="99"/>
      <c r="E315" s="99"/>
    </row>
    <row r="316" spans="1:5" x14ac:dyDescent="0.3">
      <c r="A316" s="99" t="s">
        <v>897</v>
      </c>
      <c r="B316" s="99" t="s">
        <v>898</v>
      </c>
      <c r="C316" s="100" t="s">
        <v>892</v>
      </c>
      <c r="D316" s="99"/>
      <c r="E316" s="99"/>
    </row>
    <row r="317" spans="1:5" x14ac:dyDescent="0.3">
      <c r="A317" s="99" t="s">
        <v>899</v>
      </c>
      <c r="B317" s="99" t="s">
        <v>900</v>
      </c>
      <c r="C317" s="100" t="s">
        <v>892</v>
      </c>
      <c r="D317" s="99"/>
      <c r="E317" s="99"/>
    </row>
    <row r="318" spans="1:5" x14ac:dyDescent="0.3">
      <c r="A318" s="99" t="s">
        <v>901</v>
      </c>
      <c r="B318" s="99" t="s">
        <v>902</v>
      </c>
      <c r="C318" s="100" t="s">
        <v>892</v>
      </c>
      <c r="D318" s="99"/>
      <c r="E318" s="99"/>
    </row>
    <row r="319" spans="1:5" x14ac:dyDescent="0.3">
      <c r="A319" s="99" t="s">
        <v>903</v>
      </c>
      <c r="B319" s="99" t="s">
        <v>904</v>
      </c>
      <c r="C319" s="100" t="s">
        <v>905</v>
      </c>
      <c r="D319" s="99"/>
      <c r="E319" s="99"/>
    </row>
    <row r="320" spans="1:5" x14ac:dyDescent="0.3">
      <c r="A320" s="99" t="s">
        <v>906</v>
      </c>
      <c r="B320" s="99" t="s">
        <v>907</v>
      </c>
      <c r="C320" s="100" t="s">
        <v>905</v>
      </c>
      <c r="D320" s="99"/>
      <c r="E320" s="99"/>
    </row>
    <row r="321" spans="1:5" x14ac:dyDescent="0.3">
      <c r="A321" s="99" t="s">
        <v>908</v>
      </c>
      <c r="B321" s="99" t="s">
        <v>909</v>
      </c>
      <c r="C321" s="100" t="s">
        <v>905</v>
      </c>
      <c r="D321" s="99"/>
      <c r="E321" s="99"/>
    </row>
    <row r="322" spans="1:5" x14ac:dyDescent="0.3">
      <c r="A322" s="99" t="s">
        <v>910</v>
      </c>
      <c r="B322" s="99" t="s">
        <v>911</v>
      </c>
      <c r="C322" s="100" t="s">
        <v>905</v>
      </c>
      <c r="D322" s="99"/>
      <c r="E322" s="99"/>
    </row>
    <row r="323" spans="1:5" x14ac:dyDescent="0.3">
      <c r="A323" s="99" t="s">
        <v>912</v>
      </c>
      <c r="B323" s="99" t="s">
        <v>913</v>
      </c>
      <c r="C323" s="100" t="s">
        <v>905</v>
      </c>
      <c r="D323" s="99"/>
      <c r="E323" s="99"/>
    </row>
    <row r="324" spans="1:5" x14ac:dyDescent="0.3">
      <c r="A324" s="99" t="s">
        <v>914</v>
      </c>
      <c r="B324" s="99" t="s">
        <v>915</v>
      </c>
      <c r="C324" s="100" t="s">
        <v>905</v>
      </c>
      <c r="D324" s="99"/>
      <c r="E324" s="99"/>
    </row>
    <row r="325" spans="1:5" x14ac:dyDescent="0.3">
      <c r="A325" s="99" t="s">
        <v>916</v>
      </c>
      <c r="B325" s="99" t="s">
        <v>917</v>
      </c>
      <c r="C325" s="100" t="s">
        <v>905</v>
      </c>
      <c r="D325" s="99"/>
      <c r="E325" s="99"/>
    </row>
    <row r="326" spans="1:5" x14ac:dyDescent="0.3">
      <c r="A326" s="99" t="s">
        <v>918</v>
      </c>
      <c r="B326" s="99" t="s">
        <v>919</v>
      </c>
      <c r="C326" s="100" t="s">
        <v>905</v>
      </c>
      <c r="D326" s="99"/>
      <c r="E326" s="99"/>
    </row>
    <row r="327" spans="1:5" x14ac:dyDescent="0.3">
      <c r="A327" s="99" t="s">
        <v>920</v>
      </c>
      <c r="B327" s="99" t="s">
        <v>921</v>
      </c>
      <c r="C327" s="100" t="s">
        <v>905</v>
      </c>
      <c r="D327" s="99"/>
      <c r="E327" s="99"/>
    </row>
    <row r="328" spans="1:5" x14ac:dyDescent="0.3">
      <c r="A328" s="99" t="s">
        <v>922</v>
      </c>
      <c r="B328" s="99" t="s">
        <v>923</v>
      </c>
      <c r="C328" s="100" t="s">
        <v>905</v>
      </c>
      <c r="D328" s="99"/>
      <c r="E328" s="99"/>
    </row>
    <row r="329" spans="1:5" x14ac:dyDescent="0.3">
      <c r="A329" s="99" t="s">
        <v>924</v>
      </c>
      <c r="B329" s="99" t="s">
        <v>925</v>
      </c>
      <c r="C329" s="100" t="s">
        <v>905</v>
      </c>
      <c r="D329" s="99"/>
      <c r="E329" s="99"/>
    </row>
    <row r="330" spans="1:5" x14ac:dyDescent="0.3">
      <c r="A330" s="99" t="s">
        <v>926</v>
      </c>
      <c r="B330" s="99" t="s">
        <v>927</v>
      </c>
      <c r="C330" s="100" t="s">
        <v>905</v>
      </c>
      <c r="D330" s="99"/>
      <c r="E330" s="99"/>
    </row>
    <row r="331" spans="1:5" x14ac:dyDescent="0.3">
      <c r="A331" s="99" t="s">
        <v>928</v>
      </c>
      <c r="B331" s="99" t="s">
        <v>929</v>
      </c>
      <c r="C331" s="100" t="s">
        <v>905</v>
      </c>
      <c r="D331" s="99"/>
      <c r="E331" s="99"/>
    </row>
    <row r="332" spans="1:5" x14ac:dyDescent="0.3">
      <c r="A332" s="99" t="s">
        <v>930</v>
      </c>
      <c r="B332" s="99" t="s">
        <v>931</v>
      </c>
      <c r="C332" s="100" t="s">
        <v>905</v>
      </c>
      <c r="D332" s="99"/>
      <c r="E332" s="99"/>
    </row>
    <row r="333" spans="1:5" x14ac:dyDescent="0.3">
      <c r="A333" s="99" t="s">
        <v>932</v>
      </c>
      <c r="B333" s="99" t="s">
        <v>933</v>
      </c>
      <c r="C333" s="100" t="s">
        <v>905</v>
      </c>
      <c r="D333" s="99"/>
      <c r="E333" s="99"/>
    </row>
    <row r="334" spans="1:5" x14ac:dyDescent="0.3">
      <c r="A334" s="99" t="s">
        <v>934</v>
      </c>
      <c r="B334" s="99" t="s">
        <v>935</v>
      </c>
      <c r="C334" s="100" t="s">
        <v>905</v>
      </c>
      <c r="D334" s="99"/>
      <c r="E334" s="99"/>
    </row>
    <row r="335" spans="1:5" x14ac:dyDescent="0.3">
      <c r="A335" s="99" t="s">
        <v>936</v>
      </c>
      <c r="B335" s="99" t="s">
        <v>937</v>
      </c>
      <c r="C335" s="100" t="s">
        <v>905</v>
      </c>
      <c r="D335" s="99"/>
      <c r="E335" s="99"/>
    </row>
    <row r="336" spans="1:5" x14ac:dyDescent="0.3">
      <c r="A336" s="99" t="s">
        <v>938</v>
      </c>
      <c r="B336" s="99" t="s">
        <v>939</v>
      </c>
      <c r="C336" s="100" t="s">
        <v>905</v>
      </c>
      <c r="D336" s="99"/>
      <c r="E336" s="99"/>
    </row>
    <row r="337" spans="1:5" x14ac:dyDescent="0.3">
      <c r="A337" s="99" t="s">
        <v>940</v>
      </c>
      <c r="B337" s="99" t="s">
        <v>941</v>
      </c>
      <c r="C337" s="100" t="s">
        <v>905</v>
      </c>
      <c r="D337" s="99"/>
      <c r="E337" s="99"/>
    </row>
    <row r="338" spans="1:5" x14ac:dyDescent="0.3">
      <c r="A338" s="99" t="s">
        <v>942</v>
      </c>
      <c r="B338" s="99" t="s">
        <v>943</v>
      </c>
      <c r="C338" s="100" t="s">
        <v>905</v>
      </c>
      <c r="D338" s="99"/>
      <c r="E338" s="99"/>
    </row>
    <row r="339" spans="1:5" x14ac:dyDescent="0.3">
      <c r="A339" s="99" t="s">
        <v>944</v>
      </c>
      <c r="B339" s="99" t="s">
        <v>945</v>
      </c>
      <c r="C339" s="100" t="s">
        <v>905</v>
      </c>
      <c r="D339" s="99"/>
      <c r="E339" s="99"/>
    </row>
    <row r="340" spans="1:5" x14ac:dyDescent="0.3">
      <c r="A340" s="99" t="s">
        <v>946</v>
      </c>
      <c r="B340" s="99" t="s">
        <v>947</v>
      </c>
      <c r="C340" s="100" t="s">
        <v>905</v>
      </c>
      <c r="D340" s="99"/>
      <c r="E340" s="99"/>
    </row>
    <row r="341" spans="1:5" x14ac:dyDescent="0.3">
      <c r="A341" s="99" t="s">
        <v>948</v>
      </c>
      <c r="B341" s="99" t="s">
        <v>949</v>
      </c>
      <c r="C341" s="100" t="s">
        <v>905</v>
      </c>
      <c r="D341" s="99"/>
      <c r="E341" s="99"/>
    </row>
    <row r="342" spans="1:5" x14ac:dyDescent="0.3">
      <c r="A342" s="99" t="s">
        <v>950</v>
      </c>
      <c r="B342" s="99" t="s">
        <v>951</v>
      </c>
      <c r="C342" s="100" t="s">
        <v>905</v>
      </c>
      <c r="D342" s="99"/>
      <c r="E342" s="99"/>
    </row>
    <row r="343" spans="1:5" x14ac:dyDescent="0.3">
      <c r="A343" s="99" t="s">
        <v>952</v>
      </c>
      <c r="B343" s="99" t="s">
        <v>953</v>
      </c>
      <c r="C343" s="100" t="s">
        <v>905</v>
      </c>
      <c r="D343" s="99"/>
      <c r="E343" s="99"/>
    </row>
    <row r="344" spans="1:5" x14ac:dyDescent="0.3">
      <c r="A344" s="99" t="s">
        <v>954</v>
      </c>
      <c r="B344" s="99" t="s">
        <v>955</v>
      </c>
      <c r="C344" s="100" t="s">
        <v>905</v>
      </c>
      <c r="D344" s="99"/>
      <c r="E344" s="99"/>
    </row>
    <row r="345" spans="1:5" x14ac:dyDescent="0.3">
      <c r="A345" s="99" t="s">
        <v>956</v>
      </c>
      <c r="B345" s="99" t="s">
        <v>957</v>
      </c>
      <c r="C345" s="100" t="s">
        <v>905</v>
      </c>
      <c r="D345" s="99"/>
      <c r="E345" s="99"/>
    </row>
    <row r="346" spans="1:5" x14ac:dyDescent="0.3">
      <c r="A346" s="99" t="s">
        <v>958</v>
      </c>
      <c r="B346" s="99" t="s">
        <v>959</v>
      </c>
      <c r="C346" s="100" t="s">
        <v>905</v>
      </c>
      <c r="D346" s="99"/>
      <c r="E346" s="99"/>
    </row>
    <row r="347" spans="1:5" x14ac:dyDescent="0.3">
      <c r="A347" s="99" t="s">
        <v>960</v>
      </c>
      <c r="B347" s="99" t="s">
        <v>961</v>
      </c>
      <c r="C347" s="100" t="s">
        <v>905</v>
      </c>
      <c r="D347" s="99"/>
      <c r="E347" s="99"/>
    </row>
    <row r="348" spans="1:5" x14ac:dyDescent="0.3">
      <c r="A348" s="99" t="s">
        <v>962</v>
      </c>
      <c r="B348" s="99" t="s">
        <v>963</v>
      </c>
      <c r="C348" s="100" t="s">
        <v>905</v>
      </c>
      <c r="D348" s="99"/>
      <c r="E348" s="99"/>
    </row>
    <row r="349" spans="1:5" x14ac:dyDescent="0.3">
      <c r="A349" s="99" t="s">
        <v>964</v>
      </c>
      <c r="B349" s="99" t="s">
        <v>965</v>
      </c>
      <c r="C349" s="100" t="s">
        <v>905</v>
      </c>
      <c r="D349" s="99"/>
      <c r="E349" s="99"/>
    </row>
    <row r="350" spans="1:5" x14ac:dyDescent="0.3">
      <c r="A350" s="99" t="s">
        <v>966</v>
      </c>
      <c r="B350" s="99" t="s">
        <v>967</v>
      </c>
      <c r="C350" s="100" t="s">
        <v>905</v>
      </c>
      <c r="D350" s="99"/>
      <c r="E350" s="99"/>
    </row>
    <row r="351" spans="1:5" x14ac:dyDescent="0.3">
      <c r="A351" s="99" t="s">
        <v>968</v>
      </c>
      <c r="B351" s="99" t="s">
        <v>969</v>
      </c>
      <c r="C351" s="100" t="s">
        <v>905</v>
      </c>
      <c r="D351" s="99"/>
      <c r="E351" s="99"/>
    </row>
    <row r="352" spans="1:5" x14ac:dyDescent="0.3">
      <c r="A352" s="99" t="s">
        <v>970</v>
      </c>
      <c r="B352" s="99" t="s">
        <v>971</v>
      </c>
      <c r="C352" s="100" t="s">
        <v>972</v>
      </c>
      <c r="D352" s="99"/>
      <c r="E352" s="99"/>
    </row>
    <row r="353" spans="1:5" x14ac:dyDescent="0.3">
      <c r="A353" s="99" t="s">
        <v>973</v>
      </c>
      <c r="B353" s="99" t="s">
        <v>974</v>
      </c>
      <c r="C353" s="100" t="s">
        <v>972</v>
      </c>
      <c r="D353" s="99"/>
      <c r="E353" s="99"/>
    </row>
    <row r="354" spans="1:5" x14ac:dyDescent="0.3">
      <c r="A354" s="99" t="s">
        <v>975</v>
      </c>
      <c r="B354" s="99" t="s">
        <v>976</v>
      </c>
      <c r="C354" s="100" t="s">
        <v>972</v>
      </c>
      <c r="D354" s="99"/>
      <c r="E354" s="99"/>
    </row>
    <row r="355" spans="1:5" x14ac:dyDescent="0.3">
      <c r="A355" s="99" t="s">
        <v>977</v>
      </c>
      <c r="B355" s="99" t="s">
        <v>978</v>
      </c>
      <c r="C355" s="100" t="s">
        <v>972</v>
      </c>
      <c r="D355" s="99"/>
      <c r="E355" s="99"/>
    </row>
    <row r="356" spans="1:5" x14ac:dyDescent="0.3">
      <c r="A356" s="99" t="s">
        <v>979</v>
      </c>
      <c r="B356" s="99" t="s">
        <v>980</v>
      </c>
      <c r="C356" s="100" t="s">
        <v>972</v>
      </c>
      <c r="D356" s="99"/>
      <c r="E356" s="99"/>
    </row>
    <row r="357" spans="1:5" x14ac:dyDescent="0.3">
      <c r="A357" s="99" t="s">
        <v>981</v>
      </c>
      <c r="B357" s="99" t="s">
        <v>982</v>
      </c>
      <c r="C357" s="100" t="s">
        <v>972</v>
      </c>
      <c r="D357" s="99"/>
      <c r="E357" s="99"/>
    </row>
    <row r="358" spans="1:5" x14ac:dyDescent="0.3">
      <c r="A358" s="99" t="s">
        <v>983</v>
      </c>
      <c r="B358" s="99" t="s">
        <v>984</v>
      </c>
      <c r="C358" s="100" t="s">
        <v>972</v>
      </c>
      <c r="D358" s="99"/>
      <c r="E358" s="99"/>
    </row>
    <row r="359" spans="1:5" x14ac:dyDescent="0.3">
      <c r="A359" s="99" t="s">
        <v>985</v>
      </c>
      <c r="B359" s="99" t="s">
        <v>986</v>
      </c>
      <c r="C359" s="100" t="s">
        <v>972</v>
      </c>
      <c r="D359" s="99"/>
      <c r="E359" s="99"/>
    </row>
    <row r="360" spans="1:5" x14ac:dyDescent="0.3">
      <c r="A360" s="99" t="s">
        <v>987</v>
      </c>
      <c r="B360" s="99" t="s">
        <v>988</v>
      </c>
      <c r="C360" s="100" t="s">
        <v>972</v>
      </c>
      <c r="D360" s="99"/>
      <c r="E360" s="99"/>
    </row>
    <row r="361" spans="1:5" x14ac:dyDescent="0.3">
      <c r="A361" s="99" t="s">
        <v>989</v>
      </c>
      <c r="B361" s="99" t="s">
        <v>990</v>
      </c>
      <c r="C361" s="100" t="s">
        <v>972</v>
      </c>
      <c r="D361" s="99"/>
      <c r="E361" s="99"/>
    </row>
    <row r="362" spans="1:5" x14ac:dyDescent="0.3">
      <c r="A362" s="99" t="s">
        <v>991</v>
      </c>
      <c r="B362" s="99" t="s">
        <v>992</v>
      </c>
      <c r="C362" s="100" t="s">
        <v>972</v>
      </c>
      <c r="D362" s="99"/>
      <c r="E362" s="99"/>
    </row>
    <row r="363" spans="1:5" x14ac:dyDescent="0.3">
      <c r="A363" s="99" t="s">
        <v>993</v>
      </c>
      <c r="B363" s="99" t="s">
        <v>994</v>
      </c>
      <c r="C363" s="100" t="s">
        <v>972</v>
      </c>
      <c r="D363" s="99"/>
      <c r="E363" s="99"/>
    </row>
    <row r="364" spans="1:5" x14ac:dyDescent="0.3">
      <c r="A364" s="99" t="s">
        <v>995</v>
      </c>
      <c r="B364" s="99" t="s">
        <v>996</v>
      </c>
      <c r="C364" s="100" t="s">
        <v>972</v>
      </c>
      <c r="D364" s="99"/>
      <c r="E364" s="99"/>
    </row>
    <row r="365" spans="1:5" x14ac:dyDescent="0.3">
      <c r="A365" s="99" t="s">
        <v>997</v>
      </c>
      <c r="B365" s="99" t="s">
        <v>998</v>
      </c>
      <c r="C365" s="100" t="s">
        <v>972</v>
      </c>
      <c r="D365" s="99"/>
      <c r="E365" s="99"/>
    </row>
    <row r="366" spans="1:5" x14ac:dyDescent="0.3">
      <c r="A366" s="99" t="s">
        <v>999</v>
      </c>
      <c r="B366" s="99" t="s">
        <v>1000</v>
      </c>
      <c r="C366" s="100" t="s">
        <v>972</v>
      </c>
      <c r="D366" s="99"/>
      <c r="E366" s="99"/>
    </row>
    <row r="367" spans="1:5" x14ac:dyDescent="0.3">
      <c r="A367" s="99" t="s">
        <v>1001</v>
      </c>
      <c r="B367" s="99" t="s">
        <v>1002</v>
      </c>
      <c r="C367" s="100" t="s">
        <v>1003</v>
      </c>
      <c r="D367" s="99"/>
      <c r="E367" s="99"/>
    </row>
    <row r="368" spans="1:5" x14ac:dyDescent="0.3">
      <c r="A368" s="99" t="s">
        <v>1004</v>
      </c>
      <c r="B368" s="99" t="s">
        <v>1005</v>
      </c>
      <c r="C368" s="100" t="s">
        <v>1003</v>
      </c>
      <c r="D368" s="99"/>
      <c r="E368" s="99"/>
    </row>
    <row r="369" spans="1:5" x14ac:dyDescent="0.3">
      <c r="A369" s="99" t="s">
        <v>1006</v>
      </c>
      <c r="B369" s="99" t="s">
        <v>1007</v>
      </c>
      <c r="C369" s="100" t="s">
        <v>1003</v>
      </c>
      <c r="D369" s="99"/>
      <c r="E369" s="99"/>
    </row>
    <row r="370" spans="1:5" x14ac:dyDescent="0.3">
      <c r="A370" s="99" t="s">
        <v>1008</v>
      </c>
      <c r="B370" s="99" t="s">
        <v>1009</v>
      </c>
      <c r="C370" s="100" t="s">
        <v>1003</v>
      </c>
      <c r="D370" s="99"/>
      <c r="E370" s="99"/>
    </row>
    <row r="371" spans="1:5" x14ac:dyDescent="0.3">
      <c r="A371" s="99" t="s">
        <v>1010</v>
      </c>
      <c r="B371" s="99" t="s">
        <v>1011</v>
      </c>
      <c r="C371" s="100" t="s">
        <v>1003</v>
      </c>
      <c r="D371" s="99"/>
      <c r="E371" s="99"/>
    </row>
    <row r="372" spans="1:5" x14ac:dyDescent="0.3">
      <c r="A372" s="99" t="s">
        <v>1012</v>
      </c>
      <c r="B372" s="99" t="s">
        <v>1013</v>
      </c>
      <c r="C372" s="100" t="s">
        <v>1003</v>
      </c>
      <c r="D372" s="99"/>
      <c r="E372" s="99"/>
    </row>
    <row r="373" spans="1:5" x14ac:dyDescent="0.3">
      <c r="A373" s="99" t="s">
        <v>1014</v>
      </c>
      <c r="B373" s="99" t="s">
        <v>1015</v>
      </c>
      <c r="C373" s="100" t="s">
        <v>1003</v>
      </c>
      <c r="D373" s="99"/>
      <c r="E373" s="99"/>
    </row>
    <row r="374" spans="1:5" x14ac:dyDescent="0.3">
      <c r="A374" s="99" t="s">
        <v>1016</v>
      </c>
      <c r="B374" s="99" t="s">
        <v>1017</v>
      </c>
      <c r="C374" s="100" t="s">
        <v>1003</v>
      </c>
      <c r="D374" s="99"/>
      <c r="E374" s="99"/>
    </row>
    <row r="375" spans="1:5" x14ac:dyDescent="0.3">
      <c r="A375" s="99" t="s">
        <v>1018</v>
      </c>
      <c r="B375" s="99" t="s">
        <v>1019</v>
      </c>
      <c r="C375" s="100" t="s">
        <v>1003</v>
      </c>
      <c r="D375" s="99"/>
      <c r="E375" s="99"/>
    </row>
    <row r="376" spans="1:5" x14ac:dyDescent="0.3">
      <c r="A376" s="99" t="s">
        <v>1020</v>
      </c>
      <c r="B376" s="99" t="s">
        <v>1021</v>
      </c>
      <c r="C376" s="100" t="s">
        <v>1003</v>
      </c>
      <c r="D376" s="99"/>
      <c r="E376" s="99"/>
    </row>
    <row r="377" spans="1:5" x14ac:dyDescent="0.3">
      <c r="A377" s="99" t="s">
        <v>1022</v>
      </c>
      <c r="B377" s="99" t="s">
        <v>1023</v>
      </c>
      <c r="C377" s="100" t="s">
        <v>1003</v>
      </c>
      <c r="D377" s="99"/>
      <c r="E377" s="99"/>
    </row>
    <row r="378" spans="1:5" x14ac:dyDescent="0.3">
      <c r="A378" s="99" t="s">
        <v>1024</v>
      </c>
      <c r="B378" s="99" t="s">
        <v>1025</v>
      </c>
      <c r="C378" s="100" t="s">
        <v>1003</v>
      </c>
      <c r="D378" s="99"/>
      <c r="E378" s="99"/>
    </row>
    <row r="379" spans="1:5" x14ac:dyDescent="0.3">
      <c r="A379" s="99" t="s">
        <v>1026</v>
      </c>
      <c r="B379" s="99" t="s">
        <v>1027</v>
      </c>
      <c r="C379" s="100" t="s">
        <v>1003</v>
      </c>
      <c r="D379" s="99"/>
      <c r="E379" s="99"/>
    </row>
    <row r="380" spans="1:5" x14ac:dyDescent="0.3">
      <c r="A380" s="99" t="s">
        <v>1028</v>
      </c>
      <c r="B380" s="99" t="s">
        <v>1029</v>
      </c>
      <c r="C380" s="100" t="s">
        <v>1003</v>
      </c>
      <c r="D380" s="99"/>
      <c r="E380" s="99"/>
    </row>
    <row r="381" spans="1:5" x14ac:dyDescent="0.3">
      <c r="A381" s="99" t="s">
        <v>1030</v>
      </c>
      <c r="B381" s="99" t="s">
        <v>1031</v>
      </c>
      <c r="C381" s="100" t="s">
        <v>1003</v>
      </c>
      <c r="D381" s="99"/>
      <c r="E381" s="99"/>
    </row>
    <row r="382" spans="1:5" x14ac:dyDescent="0.3">
      <c r="A382" s="99" t="s">
        <v>1032</v>
      </c>
      <c r="B382" s="99" t="s">
        <v>1033</v>
      </c>
      <c r="C382" s="100" t="s">
        <v>1003</v>
      </c>
      <c r="D382" s="99"/>
      <c r="E382" s="99"/>
    </row>
    <row r="383" spans="1:5" x14ac:dyDescent="0.3">
      <c r="A383" s="99" t="s">
        <v>1034</v>
      </c>
      <c r="B383" s="99" t="s">
        <v>1035</v>
      </c>
      <c r="C383" s="100" t="s">
        <v>1003</v>
      </c>
      <c r="D383" s="99"/>
      <c r="E383" s="99"/>
    </row>
    <row r="384" spans="1:5" x14ac:dyDescent="0.3">
      <c r="A384" s="99" t="s">
        <v>1036</v>
      </c>
      <c r="B384" s="99" t="s">
        <v>1037</v>
      </c>
      <c r="C384" s="100" t="s">
        <v>1003</v>
      </c>
      <c r="D384" s="99"/>
      <c r="E384" s="99"/>
    </row>
    <row r="385" spans="1:5" x14ac:dyDescent="0.3">
      <c r="A385" s="99" t="s">
        <v>1038</v>
      </c>
      <c r="B385" s="99" t="s">
        <v>1039</v>
      </c>
      <c r="C385" s="100" t="s">
        <v>1003</v>
      </c>
      <c r="D385" s="99"/>
      <c r="E385" s="99"/>
    </row>
    <row r="386" spans="1:5" x14ac:dyDescent="0.3">
      <c r="A386" s="99" t="s">
        <v>1040</v>
      </c>
      <c r="B386" s="99" t="s">
        <v>1041</v>
      </c>
      <c r="C386" s="100" t="s">
        <v>1003</v>
      </c>
      <c r="D386" s="99"/>
      <c r="E386" s="99"/>
    </row>
    <row r="387" spans="1:5" x14ac:dyDescent="0.3">
      <c r="A387" s="99" t="s">
        <v>1042</v>
      </c>
      <c r="B387" s="99" t="s">
        <v>1043</v>
      </c>
      <c r="C387" s="100" t="s">
        <v>1003</v>
      </c>
      <c r="D387" s="99"/>
      <c r="E387" s="99"/>
    </row>
    <row r="388" spans="1:5" x14ac:dyDescent="0.3">
      <c r="A388" s="99" t="s">
        <v>1044</v>
      </c>
      <c r="B388" s="99" t="s">
        <v>1045</v>
      </c>
      <c r="C388" s="100" t="s">
        <v>1003</v>
      </c>
      <c r="D388" s="99"/>
      <c r="E388" s="99"/>
    </row>
    <row r="389" spans="1:5" x14ac:dyDescent="0.3">
      <c r="A389" s="99" t="s">
        <v>1046</v>
      </c>
      <c r="B389" s="99" t="s">
        <v>1047</v>
      </c>
      <c r="C389" s="100" t="s">
        <v>1003</v>
      </c>
      <c r="D389" s="99"/>
      <c r="E389" s="99"/>
    </row>
    <row r="390" spans="1:5" x14ac:dyDescent="0.3">
      <c r="A390" s="99" t="s">
        <v>1048</v>
      </c>
      <c r="B390" s="99" t="s">
        <v>1049</v>
      </c>
      <c r="C390" s="100" t="s">
        <v>1003</v>
      </c>
      <c r="D390" s="99"/>
      <c r="E390" s="99"/>
    </row>
    <row r="391" spans="1:5" x14ac:dyDescent="0.3">
      <c r="A391" s="99" t="s">
        <v>1050</v>
      </c>
      <c r="B391" s="99" t="s">
        <v>1051</v>
      </c>
      <c r="C391" s="100" t="s">
        <v>1003</v>
      </c>
      <c r="D391" s="99"/>
      <c r="E391" s="99"/>
    </row>
    <row r="392" spans="1:5" x14ac:dyDescent="0.3">
      <c r="A392" s="99" t="s">
        <v>1052</v>
      </c>
      <c r="B392" s="99" t="s">
        <v>1053</v>
      </c>
      <c r="C392" s="100" t="s">
        <v>1003</v>
      </c>
      <c r="D392" s="99"/>
      <c r="E392" s="99"/>
    </row>
    <row r="393" spans="1:5" x14ac:dyDescent="0.3">
      <c r="A393" s="99" t="s">
        <v>1054</v>
      </c>
      <c r="B393" s="99" t="s">
        <v>1055</v>
      </c>
      <c r="C393" s="100" t="s">
        <v>1003</v>
      </c>
      <c r="D393" s="99"/>
      <c r="E393" s="99"/>
    </row>
    <row r="394" spans="1:5" x14ac:dyDescent="0.3">
      <c r="A394" s="99" t="s">
        <v>1056</v>
      </c>
      <c r="B394" s="99" t="s">
        <v>1057</v>
      </c>
      <c r="C394" s="100" t="s">
        <v>1003</v>
      </c>
      <c r="D394" s="99"/>
      <c r="E394" s="99"/>
    </row>
    <row r="395" spans="1:5" x14ac:dyDescent="0.3">
      <c r="A395" s="99" t="s">
        <v>1058</v>
      </c>
      <c r="B395" s="99" t="s">
        <v>1059</v>
      </c>
      <c r="C395" s="100" t="s">
        <v>1003</v>
      </c>
      <c r="D395" s="99"/>
      <c r="E395" s="99"/>
    </row>
    <row r="396" spans="1:5" x14ac:dyDescent="0.3">
      <c r="A396" s="99" t="s">
        <v>1060</v>
      </c>
      <c r="B396" s="99" t="s">
        <v>1061</v>
      </c>
      <c r="C396" s="100" t="s">
        <v>1062</v>
      </c>
      <c r="D396" s="99"/>
      <c r="E396" s="99"/>
    </row>
    <row r="397" spans="1:5" x14ac:dyDescent="0.3">
      <c r="A397" s="99" t="s">
        <v>1063</v>
      </c>
      <c r="B397" s="99" t="s">
        <v>1064</v>
      </c>
      <c r="C397" s="100" t="s">
        <v>1065</v>
      </c>
      <c r="D397" s="99"/>
      <c r="E397" s="99"/>
    </row>
    <row r="398" spans="1:5" x14ac:dyDescent="0.3">
      <c r="A398" s="99" t="s">
        <v>1066</v>
      </c>
      <c r="B398" s="99" t="s">
        <v>1067</v>
      </c>
      <c r="C398" s="100" t="s">
        <v>1065</v>
      </c>
      <c r="D398" s="99"/>
      <c r="E398" s="99"/>
    </row>
    <row r="399" spans="1:5" x14ac:dyDescent="0.3">
      <c r="A399" s="99" t="s">
        <v>1068</v>
      </c>
      <c r="B399" s="99" t="s">
        <v>1069</v>
      </c>
      <c r="C399" s="100" t="s">
        <v>1065</v>
      </c>
      <c r="D399" s="99"/>
      <c r="E399" s="99"/>
    </row>
    <row r="400" spans="1:5" x14ac:dyDescent="0.3">
      <c r="A400" s="99" t="s">
        <v>1070</v>
      </c>
      <c r="B400" s="99" t="s">
        <v>1071</v>
      </c>
      <c r="C400" s="100" t="s">
        <v>1065</v>
      </c>
      <c r="D400" s="99"/>
      <c r="E400" s="99"/>
    </row>
    <row r="401" spans="1:5" x14ac:dyDescent="0.3">
      <c r="A401" s="99" t="s">
        <v>1072</v>
      </c>
      <c r="B401" s="99" t="s">
        <v>1073</v>
      </c>
      <c r="C401" s="100" t="s">
        <v>1065</v>
      </c>
      <c r="D401" s="99"/>
      <c r="E401" s="99"/>
    </row>
    <row r="402" spans="1:5" x14ac:dyDescent="0.3">
      <c r="A402" s="99" t="s">
        <v>1074</v>
      </c>
      <c r="B402" s="99" t="s">
        <v>1075</v>
      </c>
      <c r="C402" s="100" t="s">
        <v>1065</v>
      </c>
      <c r="D402" s="99"/>
      <c r="E402" s="99"/>
    </row>
    <row r="403" spans="1:5" x14ac:dyDescent="0.3">
      <c r="A403" s="99" t="s">
        <v>1076</v>
      </c>
      <c r="B403" s="99" t="s">
        <v>1077</v>
      </c>
      <c r="C403" s="100" t="s">
        <v>1065</v>
      </c>
      <c r="D403" s="99"/>
      <c r="E403" s="99"/>
    </row>
    <row r="404" spans="1:5" x14ac:dyDescent="0.3">
      <c r="A404" s="99" t="s">
        <v>1078</v>
      </c>
      <c r="B404" s="99" t="s">
        <v>1079</v>
      </c>
      <c r="C404" s="100" t="s">
        <v>1065</v>
      </c>
      <c r="D404" s="99"/>
      <c r="E404" s="99"/>
    </row>
    <row r="405" spans="1:5" x14ac:dyDescent="0.3">
      <c r="A405" s="99" t="s">
        <v>1080</v>
      </c>
      <c r="B405" s="99" t="s">
        <v>1081</v>
      </c>
      <c r="C405" s="100" t="s">
        <v>1065</v>
      </c>
      <c r="D405" s="99"/>
      <c r="E405" s="99"/>
    </row>
    <row r="406" spans="1:5" x14ac:dyDescent="0.3">
      <c r="A406" s="99" t="s">
        <v>1082</v>
      </c>
      <c r="B406" s="99" t="s">
        <v>1083</v>
      </c>
      <c r="C406" s="100" t="s">
        <v>1065</v>
      </c>
      <c r="D406" s="99"/>
      <c r="E406" s="99"/>
    </row>
    <row r="407" spans="1:5" x14ac:dyDescent="0.3">
      <c r="A407" s="99" t="s">
        <v>1084</v>
      </c>
      <c r="B407" s="99" t="s">
        <v>1085</v>
      </c>
      <c r="C407" s="100" t="s">
        <v>1065</v>
      </c>
      <c r="D407" s="99"/>
      <c r="E407" s="99"/>
    </row>
    <row r="408" spans="1:5" x14ac:dyDescent="0.3">
      <c r="A408" s="99" t="s">
        <v>1086</v>
      </c>
      <c r="B408" s="99" t="s">
        <v>1087</v>
      </c>
      <c r="C408" s="100" t="s">
        <v>1065</v>
      </c>
      <c r="D408" s="99"/>
      <c r="E408" s="99"/>
    </row>
    <row r="409" spans="1:5" x14ac:dyDescent="0.3">
      <c r="A409" s="99" t="s">
        <v>1088</v>
      </c>
      <c r="B409" s="99" t="s">
        <v>1089</v>
      </c>
      <c r="C409" s="100" t="s">
        <v>1065</v>
      </c>
      <c r="D409" s="99"/>
      <c r="E409" s="99"/>
    </row>
    <row r="410" spans="1:5" x14ac:dyDescent="0.3">
      <c r="A410" s="99" t="s">
        <v>1090</v>
      </c>
      <c r="B410" s="99" t="s">
        <v>1091</v>
      </c>
      <c r="C410" s="100" t="s">
        <v>1065</v>
      </c>
      <c r="D410" s="99"/>
      <c r="E410" s="99"/>
    </row>
    <row r="411" spans="1:5" x14ac:dyDescent="0.3">
      <c r="A411" s="99" t="s">
        <v>1092</v>
      </c>
      <c r="B411" s="99" t="s">
        <v>1093</v>
      </c>
      <c r="C411" s="100" t="s">
        <v>1065</v>
      </c>
      <c r="D411" s="99"/>
      <c r="E411" s="99"/>
    </row>
    <row r="412" spans="1:5" x14ac:dyDescent="0.3">
      <c r="A412" s="99" t="s">
        <v>1094</v>
      </c>
      <c r="B412" s="99" t="s">
        <v>1095</v>
      </c>
      <c r="C412" s="100" t="s">
        <v>1065</v>
      </c>
      <c r="D412" s="99"/>
      <c r="E412" s="99"/>
    </row>
    <row r="413" spans="1:5" x14ac:dyDescent="0.3">
      <c r="A413" s="99" t="s">
        <v>1096</v>
      </c>
      <c r="B413" s="99" t="s">
        <v>1097</v>
      </c>
      <c r="C413" s="100" t="s">
        <v>1065</v>
      </c>
      <c r="D413" s="99"/>
      <c r="E413" s="99"/>
    </row>
    <row r="414" spans="1:5" x14ac:dyDescent="0.3">
      <c r="A414" s="99" t="s">
        <v>1098</v>
      </c>
      <c r="B414" s="99" t="s">
        <v>1099</v>
      </c>
      <c r="C414" s="100" t="s">
        <v>1065</v>
      </c>
      <c r="D414" s="99"/>
      <c r="E414" s="99"/>
    </row>
    <row r="415" spans="1:5" x14ac:dyDescent="0.3">
      <c r="A415" s="99" t="s">
        <v>1100</v>
      </c>
      <c r="B415" s="99" t="s">
        <v>1101</v>
      </c>
      <c r="C415" s="100" t="s">
        <v>1065</v>
      </c>
      <c r="D415" s="99"/>
      <c r="E415" s="99"/>
    </row>
    <row r="416" spans="1:5" x14ac:dyDescent="0.3">
      <c r="A416" s="99" t="s">
        <v>1102</v>
      </c>
      <c r="B416" s="99" t="s">
        <v>1103</v>
      </c>
      <c r="C416" s="100" t="s">
        <v>1065</v>
      </c>
      <c r="D416" s="99"/>
      <c r="E416" s="99"/>
    </row>
    <row r="417" spans="1:5" x14ac:dyDescent="0.3">
      <c r="A417" s="99" t="s">
        <v>1104</v>
      </c>
      <c r="B417" s="99" t="s">
        <v>1105</v>
      </c>
      <c r="C417" s="100" t="s">
        <v>1065</v>
      </c>
      <c r="D417" s="99"/>
      <c r="E417" s="99"/>
    </row>
    <row r="418" spans="1:5" x14ac:dyDescent="0.3">
      <c r="A418" s="99" t="s">
        <v>1106</v>
      </c>
      <c r="B418" s="99" t="s">
        <v>1107</v>
      </c>
      <c r="C418" s="100" t="s">
        <v>1065</v>
      </c>
      <c r="D418" s="99"/>
      <c r="E418" s="99"/>
    </row>
    <row r="419" spans="1:5" x14ac:dyDescent="0.3">
      <c r="A419" s="99" t="s">
        <v>1108</v>
      </c>
      <c r="B419" s="99" t="s">
        <v>1109</v>
      </c>
      <c r="C419" s="100" t="s">
        <v>1065</v>
      </c>
      <c r="D419" s="99"/>
      <c r="E419" s="99"/>
    </row>
    <row r="420" spans="1:5" x14ac:dyDescent="0.3">
      <c r="A420" s="99" t="s">
        <v>1110</v>
      </c>
      <c r="B420" s="99" t="s">
        <v>1111</v>
      </c>
      <c r="C420" s="100" t="s">
        <v>1065</v>
      </c>
      <c r="D420" s="99"/>
      <c r="E420" s="99"/>
    </row>
    <row r="421" spans="1:5" x14ac:dyDescent="0.3">
      <c r="A421" s="99" t="s">
        <v>1112</v>
      </c>
      <c r="B421" s="99" t="s">
        <v>1113</v>
      </c>
      <c r="C421" s="100" t="s">
        <v>1065</v>
      </c>
      <c r="D421" s="99"/>
      <c r="E421" s="99"/>
    </row>
    <row r="422" spans="1:5" x14ac:dyDescent="0.3">
      <c r="A422" s="99" t="s">
        <v>1114</v>
      </c>
      <c r="B422" s="99" t="s">
        <v>1115</v>
      </c>
      <c r="C422" s="100" t="s">
        <v>1065</v>
      </c>
      <c r="D422" s="99"/>
      <c r="E422" s="99"/>
    </row>
    <row r="423" spans="1:5" x14ac:dyDescent="0.3">
      <c r="A423" s="99" t="s">
        <v>1116</v>
      </c>
      <c r="B423" s="99" t="s">
        <v>1117</v>
      </c>
      <c r="C423" s="100" t="s">
        <v>1065</v>
      </c>
      <c r="D423" s="99"/>
      <c r="E423" s="99"/>
    </row>
    <row r="424" spans="1:5" x14ac:dyDescent="0.3">
      <c r="A424" s="99" t="s">
        <v>1118</v>
      </c>
      <c r="B424" s="99" t="s">
        <v>1119</v>
      </c>
      <c r="C424" s="100" t="s">
        <v>1120</v>
      </c>
      <c r="D424" s="99"/>
      <c r="E424" s="99"/>
    </row>
    <row r="425" spans="1:5" x14ac:dyDescent="0.3">
      <c r="A425" s="99" t="s">
        <v>1121</v>
      </c>
      <c r="B425" s="99" t="s">
        <v>526</v>
      </c>
      <c r="C425" s="100" t="s">
        <v>1120</v>
      </c>
      <c r="D425" s="99"/>
      <c r="E425" s="99"/>
    </row>
    <row r="426" spans="1:5" x14ac:dyDescent="0.3">
      <c r="A426" s="99" t="s">
        <v>1122</v>
      </c>
      <c r="B426" s="99" t="s">
        <v>1123</v>
      </c>
      <c r="C426" s="100" t="s">
        <v>1120</v>
      </c>
      <c r="D426" s="99"/>
      <c r="E426" s="99"/>
    </row>
    <row r="427" spans="1:5" x14ac:dyDescent="0.3">
      <c r="A427" s="99" t="s">
        <v>1124</v>
      </c>
      <c r="B427" s="99" t="s">
        <v>1125</v>
      </c>
      <c r="C427" s="100" t="s">
        <v>1120</v>
      </c>
      <c r="D427" s="99"/>
      <c r="E427" s="99"/>
    </row>
    <row r="428" spans="1:5" x14ac:dyDescent="0.3">
      <c r="A428" s="99" t="s">
        <v>1126</v>
      </c>
      <c r="B428" s="99" t="s">
        <v>1127</v>
      </c>
      <c r="C428" s="100" t="s">
        <v>1128</v>
      </c>
      <c r="D428" s="99"/>
      <c r="E428" s="99"/>
    </row>
    <row r="429" spans="1:5" x14ac:dyDescent="0.3">
      <c r="A429" s="99" t="s">
        <v>1129</v>
      </c>
      <c r="B429" s="99" t="s">
        <v>1130</v>
      </c>
      <c r="C429" s="100" t="s">
        <v>1131</v>
      </c>
      <c r="D429" s="99"/>
      <c r="E429" s="99"/>
    </row>
    <row r="430" spans="1:5" x14ac:dyDescent="0.3">
      <c r="A430" s="99" t="s">
        <v>1132</v>
      </c>
      <c r="B430" s="99" t="s">
        <v>1133</v>
      </c>
      <c r="C430" s="100" t="s">
        <v>1131</v>
      </c>
      <c r="D430" s="99"/>
      <c r="E430" s="99"/>
    </row>
    <row r="431" spans="1:5" x14ac:dyDescent="0.3">
      <c r="A431" s="99" t="s">
        <v>1134</v>
      </c>
      <c r="B431" s="99" t="s">
        <v>1135</v>
      </c>
      <c r="C431" s="100" t="s">
        <v>1131</v>
      </c>
      <c r="D431" s="99"/>
      <c r="E431" s="99"/>
    </row>
    <row r="432" spans="1:5" x14ac:dyDescent="0.3">
      <c r="A432" s="99" t="s">
        <v>1136</v>
      </c>
      <c r="B432" s="99" t="s">
        <v>1137</v>
      </c>
      <c r="C432" s="100" t="s">
        <v>1131</v>
      </c>
      <c r="D432" s="99"/>
      <c r="E432" s="99"/>
    </row>
    <row r="433" spans="1:5" x14ac:dyDescent="0.3">
      <c r="A433" s="99" t="s">
        <v>1138</v>
      </c>
      <c r="B433" s="99" t="s">
        <v>1139</v>
      </c>
      <c r="C433" s="100" t="s">
        <v>1131</v>
      </c>
      <c r="D433" s="99"/>
      <c r="E433" s="99"/>
    </row>
    <row r="434" spans="1:5" x14ac:dyDescent="0.3">
      <c r="A434" s="99" t="s">
        <v>1140</v>
      </c>
      <c r="B434" s="99" t="s">
        <v>1141</v>
      </c>
      <c r="C434" s="100" t="s">
        <v>1131</v>
      </c>
      <c r="D434" s="99"/>
      <c r="E434" s="99"/>
    </row>
    <row r="435" spans="1:5" x14ac:dyDescent="0.3">
      <c r="A435" s="99" t="s">
        <v>1142</v>
      </c>
      <c r="B435" s="99" t="s">
        <v>1143</v>
      </c>
      <c r="C435" s="100" t="s">
        <v>1131</v>
      </c>
      <c r="D435" s="99"/>
      <c r="E435" s="99"/>
    </row>
    <row r="436" spans="1:5" x14ac:dyDescent="0.3">
      <c r="A436" s="99" t="s">
        <v>1144</v>
      </c>
      <c r="B436" s="99" t="s">
        <v>1145</v>
      </c>
      <c r="C436" s="100" t="s">
        <v>1131</v>
      </c>
      <c r="D436" s="99"/>
      <c r="E436" s="99"/>
    </row>
    <row r="437" spans="1:5" x14ac:dyDescent="0.3">
      <c r="A437" s="99" t="s">
        <v>1146</v>
      </c>
      <c r="B437" s="99" t="s">
        <v>1147</v>
      </c>
      <c r="C437" s="100" t="s">
        <v>1131</v>
      </c>
      <c r="D437" s="99"/>
      <c r="E437" s="99"/>
    </row>
    <row r="438" spans="1:5" x14ac:dyDescent="0.3">
      <c r="A438" s="99" t="s">
        <v>1148</v>
      </c>
      <c r="B438" s="99" t="s">
        <v>1149</v>
      </c>
      <c r="C438" s="100" t="s">
        <v>1131</v>
      </c>
      <c r="D438" s="99"/>
      <c r="E438" s="99"/>
    </row>
    <row r="439" spans="1:5" x14ac:dyDescent="0.3">
      <c r="A439" s="99" t="s">
        <v>1150</v>
      </c>
      <c r="B439" s="99" t="s">
        <v>1151</v>
      </c>
      <c r="C439" s="100" t="s">
        <v>1131</v>
      </c>
      <c r="D439" s="99"/>
      <c r="E439" s="99"/>
    </row>
    <row r="440" spans="1:5" x14ac:dyDescent="0.3">
      <c r="A440" s="99" t="s">
        <v>1152</v>
      </c>
      <c r="B440" s="99" t="s">
        <v>1153</v>
      </c>
      <c r="C440" s="100" t="s">
        <v>1131</v>
      </c>
      <c r="D440" s="99"/>
      <c r="E440" s="99"/>
    </row>
    <row r="441" spans="1:5" x14ac:dyDescent="0.3">
      <c r="A441" s="99" t="s">
        <v>1154</v>
      </c>
      <c r="B441" s="99" t="s">
        <v>1155</v>
      </c>
      <c r="C441" s="100" t="s">
        <v>1131</v>
      </c>
      <c r="D441" s="99"/>
      <c r="E441" s="99"/>
    </row>
    <row r="442" spans="1:5" x14ac:dyDescent="0.3">
      <c r="A442" s="99" t="s">
        <v>1156</v>
      </c>
      <c r="B442" s="99" t="s">
        <v>1157</v>
      </c>
      <c r="C442" s="100" t="s">
        <v>1131</v>
      </c>
      <c r="D442" s="99"/>
      <c r="E442" s="99"/>
    </row>
    <row r="443" spans="1:5" x14ac:dyDescent="0.3">
      <c r="A443" s="99" t="s">
        <v>1158</v>
      </c>
      <c r="B443" s="99" t="s">
        <v>1159</v>
      </c>
      <c r="C443" s="100" t="s">
        <v>1131</v>
      </c>
      <c r="D443" s="99"/>
      <c r="E443" s="99"/>
    </row>
    <row r="444" spans="1:5" x14ac:dyDescent="0.3">
      <c r="A444" s="99" t="s">
        <v>1160</v>
      </c>
      <c r="B444" s="99" t="s">
        <v>1161</v>
      </c>
      <c r="C444" s="100" t="s">
        <v>1131</v>
      </c>
      <c r="D444" s="99"/>
      <c r="E444" s="99"/>
    </row>
    <row r="445" spans="1:5" x14ac:dyDescent="0.3">
      <c r="A445" s="99" t="s">
        <v>1162</v>
      </c>
      <c r="B445" s="99" t="s">
        <v>1163</v>
      </c>
      <c r="C445" s="100" t="s">
        <v>1131</v>
      </c>
      <c r="D445" s="99"/>
      <c r="E445" s="99"/>
    </row>
    <row r="446" spans="1:5" x14ac:dyDescent="0.3">
      <c r="A446" s="99" t="s">
        <v>1164</v>
      </c>
      <c r="B446" s="99" t="s">
        <v>1165</v>
      </c>
      <c r="C446" s="100" t="s">
        <v>1131</v>
      </c>
      <c r="D446" s="99"/>
      <c r="E446" s="99"/>
    </row>
    <row r="447" spans="1:5" x14ac:dyDescent="0.3">
      <c r="A447" s="99" t="s">
        <v>1166</v>
      </c>
      <c r="B447" s="99" t="s">
        <v>1167</v>
      </c>
      <c r="C447" s="100" t="s">
        <v>1131</v>
      </c>
      <c r="D447" s="99"/>
      <c r="E447" s="99"/>
    </row>
    <row r="448" spans="1:5" x14ac:dyDescent="0.3">
      <c r="A448" s="99" t="s">
        <v>1168</v>
      </c>
      <c r="B448" s="99" t="s">
        <v>1169</v>
      </c>
      <c r="C448" s="100" t="s">
        <v>1131</v>
      </c>
      <c r="D448" s="99"/>
      <c r="E448" s="99"/>
    </row>
    <row r="449" spans="1:5" x14ac:dyDescent="0.3">
      <c r="A449" s="99" t="s">
        <v>1170</v>
      </c>
      <c r="B449" s="99" t="s">
        <v>1171</v>
      </c>
      <c r="C449" s="100" t="s">
        <v>1131</v>
      </c>
      <c r="D449" s="99"/>
      <c r="E449" s="99"/>
    </row>
    <row r="450" spans="1:5" x14ac:dyDescent="0.3">
      <c r="A450" s="99" t="s">
        <v>1172</v>
      </c>
      <c r="B450" s="99" t="s">
        <v>1173</v>
      </c>
      <c r="C450" s="100" t="s">
        <v>1131</v>
      </c>
      <c r="D450" s="99"/>
      <c r="E450" s="99"/>
    </row>
    <row r="451" spans="1:5" x14ac:dyDescent="0.3">
      <c r="A451" s="99" t="s">
        <v>1174</v>
      </c>
      <c r="B451" s="99" t="s">
        <v>1175</v>
      </c>
      <c r="C451" s="100" t="s">
        <v>1131</v>
      </c>
      <c r="D451" s="99"/>
      <c r="E451" s="99"/>
    </row>
    <row r="452" spans="1:5" x14ac:dyDescent="0.3">
      <c r="A452" s="99" t="s">
        <v>1176</v>
      </c>
      <c r="B452" s="99" t="s">
        <v>1177</v>
      </c>
      <c r="C452" s="100" t="s">
        <v>1131</v>
      </c>
      <c r="D452" s="99"/>
      <c r="E452" s="99"/>
    </row>
    <row r="453" spans="1:5" x14ac:dyDescent="0.3">
      <c r="A453" s="99" t="s">
        <v>1178</v>
      </c>
      <c r="B453" s="99" t="s">
        <v>1179</v>
      </c>
      <c r="C453" s="100" t="s">
        <v>1131</v>
      </c>
      <c r="D453" s="99"/>
      <c r="E453" s="99"/>
    </row>
    <row r="454" spans="1:5" x14ac:dyDescent="0.3">
      <c r="A454" s="99"/>
      <c r="B454" s="99"/>
      <c r="C454" s="100"/>
      <c r="D454" s="99"/>
      <c r="E454" s="99"/>
    </row>
    <row r="455" spans="1:5" x14ac:dyDescent="0.3">
      <c r="A455" s="99"/>
      <c r="B455" s="99"/>
      <c r="C455" s="100"/>
      <c r="D455" s="99"/>
      <c r="E455" s="99"/>
    </row>
    <row r="456" spans="1:5" x14ac:dyDescent="0.3">
      <c r="A456" s="99"/>
      <c r="B456" s="99"/>
      <c r="C456" s="100"/>
      <c r="D456" s="99"/>
      <c r="E456" s="99"/>
    </row>
    <row r="457" spans="1:5" x14ac:dyDescent="0.3">
      <c r="A457" s="99"/>
      <c r="B457" s="99"/>
      <c r="C457" s="100"/>
      <c r="D457" s="99"/>
      <c r="E457" s="99"/>
    </row>
    <row r="458" spans="1:5" x14ac:dyDescent="0.3">
      <c r="A458" s="99"/>
      <c r="B458" s="99"/>
      <c r="C458" s="100"/>
      <c r="D458" s="99"/>
      <c r="E458" s="99"/>
    </row>
    <row r="459" spans="1:5" x14ac:dyDescent="0.3">
      <c r="A459" s="99"/>
      <c r="B459" s="99"/>
      <c r="C459" s="100"/>
      <c r="D459" s="99"/>
      <c r="E459" s="99"/>
    </row>
    <row r="460" spans="1:5" x14ac:dyDescent="0.3">
      <c r="A460" s="99"/>
      <c r="B460" s="99"/>
      <c r="C460" s="100"/>
      <c r="D460" s="99"/>
      <c r="E460" s="99"/>
    </row>
    <row r="461" spans="1:5" x14ac:dyDescent="0.3">
      <c r="A461" s="99"/>
      <c r="B461" s="99"/>
      <c r="C461" s="100"/>
      <c r="D461" s="99"/>
      <c r="E461" s="99"/>
    </row>
    <row r="462" spans="1:5" x14ac:dyDescent="0.3">
      <c r="A462" s="99"/>
      <c r="B462" s="99"/>
      <c r="C462" s="100"/>
      <c r="D462" s="99"/>
      <c r="E462" s="99"/>
    </row>
    <row r="463" spans="1:5" x14ac:dyDescent="0.3">
      <c r="A463" s="99"/>
      <c r="B463" s="99"/>
      <c r="C463" s="100"/>
      <c r="D463" s="99"/>
      <c r="E463" s="99"/>
    </row>
    <row r="464" spans="1:5" x14ac:dyDescent="0.3">
      <c r="A464" s="99"/>
      <c r="B464" s="99"/>
      <c r="C464" s="100"/>
      <c r="D464" s="99"/>
      <c r="E464" s="99"/>
    </row>
    <row r="465" spans="1:5" x14ac:dyDescent="0.3">
      <c r="A465" s="99"/>
      <c r="B465" s="99"/>
      <c r="C465" s="100"/>
      <c r="D465" s="99"/>
      <c r="E465" s="99"/>
    </row>
    <row r="466" spans="1:5" x14ac:dyDescent="0.3">
      <c r="A466" s="99"/>
      <c r="B466" s="99"/>
      <c r="C466" s="100"/>
      <c r="D466" s="99"/>
      <c r="E466" s="99"/>
    </row>
    <row r="467" spans="1:5" x14ac:dyDescent="0.3">
      <c r="A467" s="99"/>
      <c r="B467" s="99"/>
      <c r="C467" s="100"/>
      <c r="D467" s="99"/>
      <c r="E467" s="99"/>
    </row>
    <row r="468" spans="1:5" x14ac:dyDescent="0.3">
      <c r="A468" s="99"/>
      <c r="B468" s="99"/>
      <c r="C468" s="100"/>
      <c r="D468" s="99"/>
      <c r="E468" s="99"/>
    </row>
    <row r="469" spans="1:5" x14ac:dyDescent="0.3">
      <c r="A469" s="99"/>
      <c r="B469" s="99"/>
      <c r="C469" s="100"/>
      <c r="D469" s="99"/>
      <c r="E469" s="99"/>
    </row>
    <row r="470" spans="1:5" x14ac:dyDescent="0.3">
      <c r="A470" s="99"/>
      <c r="B470" s="99"/>
      <c r="C470" s="100"/>
      <c r="D470" s="99"/>
      <c r="E470" s="99"/>
    </row>
    <row r="471" spans="1:5" x14ac:dyDescent="0.3">
      <c r="A471" s="99"/>
      <c r="B471" s="99"/>
      <c r="C471" s="100"/>
      <c r="D471" s="99"/>
      <c r="E471" s="99"/>
    </row>
    <row r="472" spans="1:5" x14ac:dyDescent="0.3">
      <c r="A472" s="99"/>
      <c r="B472" s="99"/>
      <c r="C472" s="100"/>
      <c r="D472" s="99"/>
      <c r="E472" s="99"/>
    </row>
    <row r="473" spans="1:5" x14ac:dyDescent="0.3">
      <c r="A473" s="99"/>
      <c r="B473" s="99"/>
      <c r="C473" s="100"/>
      <c r="D473" s="99"/>
      <c r="E473" s="99"/>
    </row>
    <row r="474" spans="1:5" x14ac:dyDescent="0.3">
      <c r="A474" s="99"/>
      <c r="B474" s="99"/>
      <c r="C474" s="100"/>
      <c r="D474" s="99"/>
      <c r="E474" s="99"/>
    </row>
    <row r="475" spans="1:5" x14ac:dyDescent="0.3">
      <c r="A475" s="99"/>
      <c r="B475" s="99"/>
      <c r="C475" s="100"/>
      <c r="D475" s="99"/>
      <c r="E475" s="99"/>
    </row>
    <row r="476" spans="1:5" x14ac:dyDescent="0.3">
      <c r="A476" s="99"/>
      <c r="B476" s="99"/>
      <c r="C476" s="100"/>
      <c r="D476" s="99"/>
      <c r="E476" s="99"/>
    </row>
    <row r="477" spans="1:5" x14ac:dyDescent="0.3">
      <c r="A477" s="99"/>
      <c r="B477" s="99"/>
      <c r="C477" s="100"/>
      <c r="D477" s="99"/>
      <c r="E477" s="99"/>
    </row>
    <row r="478" spans="1:5" x14ac:dyDescent="0.3">
      <c r="A478" s="99"/>
      <c r="B478" s="99"/>
      <c r="C478" s="100"/>
      <c r="D478" s="99"/>
      <c r="E478" s="99"/>
    </row>
    <row r="479" spans="1:5" x14ac:dyDescent="0.3">
      <c r="A479" s="99"/>
      <c r="B479" s="99"/>
      <c r="C479" s="100"/>
      <c r="D479" s="99"/>
      <c r="E479" s="99"/>
    </row>
    <row r="480" spans="1:5" x14ac:dyDescent="0.3">
      <c r="A480" s="99"/>
      <c r="B480" s="99"/>
      <c r="C480" s="100"/>
      <c r="D480" s="99"/>
      <c r="E480" s="99"/>
    </row>
    <row r="481" spans="1:5" x14ac:dyDescent="0.3">
      <c r="A481" s="99"/>
      <c r="B481" s="99"/>
      <c r="C481" s="100"/>
      <c r="D481" s="99"/>
      <c r="E481" s="99"/>
    </row>
    <row r="482" spans="1:5" x14ac:dyDescent="0.3">
      <c r="A482" s="99"/>
      <c r="B482" s="99"/>
      <c r="C482" s="100"/>
      <c r="D482" s="99"/>
      <c r="E482" s="99"/>
    </row>
    <row r="483" spans="1:5" x14ac:dyDescent="0.3">
      <c r="A483" s="99"/>
      <c r="B483" s="99"/>
      <c r="C483" s="100"/>
      <c r="D483" s="99"/>
      <c r="E483" s="99"/>
    </row>
    <row r="484" spans="1:5" x14ac:dyDescent="0.3">
      <c r="A484" s="99"/>
      <c r="B484" s="99"/>
      <c r="C484" s="100"/>
      <c r="D484" s="99"/>
      <c r="E484" s="99"/>
    </row>
    <row r="485" spans="1:5" x14ac:dyDescent="0.3">
      <c r="A485" s="99"/>
      <c r="B485" s="99"/>
      <c r="C485" s="100"/>
      <c r="D485" s="99"/>
      <c r="E485" s="99"/>
    </row>
    <row r="486" spans="1:5" x14ac:dyDescent="0.3">
      <c r="A486" s="99"/>
      <c r="B486" s="99"/>
      <c r="C486" s="100"/>
      <c r="D486" s="99"/>
      <c r="E486" s="99"/>
    </row>
    <row r="487" spans="1:5" x14ac:dyDescent="0.3">
      <c r="A487" s="99"/>
      <c r="B487" s="99"/>
      <c r="C487" s="100"/>
      <c r="D487" s="99"/>
      <c r="E487" s="99"/>
    </row>
    <row r="488" spans="1:5" x14ac:dyDescent="0.3">
      <c r="A488" s="99"/>
      <c r="B488" s="99"/>
      <c r="C488" s="100"/>
      <c r="D488" s="99"/>
      <c r="E488" s="99"/>
    </row>
    <row r="489" spans="1:5" x14ac:dyDescent="0.3">
      <c r="A489" s="99"/>
      <c r="B489" s="99"/>
      <c r="C489" s="100"/>
      <c r="D489" s="99"/>
      <c r="E489" s="99"/>
    </row>
    <row r="490" spans="1:5" x14ac:dyDescent="0.3">
      <c r="A490" s="99"/>
      <c r="B490" s="99"/>
      <c r="C490" s="100"/>
      <c r="D490" s="99"/>
      <c r="E490" s="99"/>
    </row>
    <row r="491" spans="1:5" x14ac:dyDescent="0.3">
      <c r="A491" s="99"/>
      <c r="B491" s="99"/>
      <c r="C491" s="100"/>
      <c r="D491" s="99"/>
      <c r="E491" s="99"/>
    </row>
    <row r="492" spans="1:5" x14ac:dyDescent="0.3">
      <c r="A492" s="99"/>
      <c r="B492" s="99"/>
      <c r="C492" s="100"/>
      <c r="D492" s="99"/>
      <c r="E492" s="99"/>
    </row>
    <row r="493" spans="1:5" x14ac:dyDescent="0.3">
      <c r="A493" s="99"/>
      <c r="B493" s="99"/>
      <c r="C493" s="100"/>
      <c r="D493" s="99"/>
      <c r="E493" s="99"/>
    </row>
    <row r="494" spans="1:5" x14ac:dyDescent="0.3">
      <c r="A494" s="99"/>
      <c r="B494" s="99"/>
      <c r="C494" s="100"/>
      <c r="D494" s="99"/>
      <c r="E494" s="99"/>
    </row>
    <row r="495" spans="1:5" x14ac:dyDescent="0.3">
      <c r="A495" s="99"/>
      <c r="B495" s="99"/>
      <c r="C495" s="100"/>
      <c r="D495" s="99"/>
      <c r="E495" s="99"/>
    </row>
    <row r="496" spans="1:5" x14ac:dyDescent="0.3">
      <c r="A496" s="99"/>
      <c r="B496" s="99"/>
      <c r="C496" s="100"/>
      <c r="D496" s="99"/>
      <c r="E496" s="99"/>
    </row>
    <row r="497" spans="1:5" x14ac:dyDescent="0.3">
      <c r="A497" s="99"/>
      <c r="B497" s="99"/>
      <c r="C497" s="100"/>
      <c r="D497" s="99"/>
      <c r="E497" s="99"/>
    </row>
    <row r="498" spans="1:5" x14ac:dyDescent="0.3">
      <c r="A498" s="99"/>
      <c r="B498" s="99"/>
      <c r="C498" s="100"/>
      <c r="D498" s="99"/>
      <c r="E498" s="99"/>
    </row>
    <row r="499" spans="1:5" x14ac:dyDescent="0.3">
      <c r="A499" s="99"/>
      <c r="B499" s="99"/>
      <c r="C499" s="100"/>
      <c r="D499" s="99"/>
      <c r="E499" s="99"/>
    </row>
    <row r="500" spans="1:5" x14ac:dyDescent="0.3">
      <c r="A500" s="99"/>
      <c r="B500" s="99"/>
      <c r="C500" s="100"/>
      <c r="D500" s="99"/>
      <c r="E500" s="99"/>
    </row>
    <row r="501" spans="1:5" x14ac:dyDescent="0.3">
      <c r="A501" s="99"/>
      <c r="B501" s="99"/>
      <c r="C501" s="100"/>
      <c r="D501" s="99"/>
      <c r="E501" s="99"/>
    </row>
    <row r="502" spans="1:5" x14ac:dyDescent="0.3">
      <c r="A502" s="99"/>
      <c r="B502" s="99"/>
      <c r="C502" s="100"/>
      <c r="D502" s="99"/>
      <c r="E502" s="99"/>
    </row>
    <row r="503" spans="1:5" x14ac:dyDescent="0.3">
      <c r="A503" s="99"/>
      <c r="B503" s="99"/>
      <c r="C503" s="100"/>
      <c r="D503" s="99"/>
      <c r="E503" s="99"/>
    </row>
    <row r="504" spans="1:5" x14ac:dyDescent="0.3">
      <c r="A504" s="99"/>
      <c r="B504" s="99"/>
      <c r="C504" s="100"/>
      <c r="D504" s="99"/>
      <c r="E504" s="99"/>
    </row>
    <row r="505" spans="1:5" x14ac:dyDescent="0.3">
      <c r="A505" s="99"/>
      <c r="B505" s="99"/>
      <c r="C505" s="100"/>
      <c r="D505" s="99"/>
      <c r="E505" s="99"/>
    </row>
    <row r="506" spans="1:5" x14ac:dyDescent="0.3">
      <c r="A506" s="99"/>
      <c r="B506" s="99"/>
      <c r="C506" s="100"/>
      <c r="D506" s="99"/>
      <c r="E506" s="99"/>
    </row>
    <row r="507" spans="1:5" x14ac:dyDescent="0.3">
      <c r="A507" s="99"/>
      <c r="B507" s="99"/>
      <c r="C507" s="100"/>
      <c r="D507" s="99"/>
      <c r="E507" s="99"/>
    </row>
    <row r="508" spans="1:5" x14ac:dyDescent="0.3">
      <c r="A508" s="99"/>
      <c r="B508" s="99"/>
      <c r="C508" s="100"/>
      <c r="D508" s="99"/>
      <c r="E508" s="99"/>
    </row>
    <row r="509" spans="1:5" x14ac:dyDescent="0.3">
      <c r="A509" s="99"/>
      <c r="B509" s="99"/>
      <c r="C509" s="100"/>
      <c r="D509" s="99"/>
      <c r="E509" s="99"/>
    </row>
    <row r="510" spans="1:5" x14ac:dyDescent="0.3">
      <c r="A510" s="99"/>
      <c r="B510" s="99"/>
      <c r="C510" s="100"/>
      <c r="D510" s="99"/>
      <c r="E510" s="99"/>
    </row>
    <row r="511" spans="1:5" x14ac:dyDescent="0.3">
      <c r="A511" s="99"/>
      <c r="B511" s="99"/>
      <c r="C511" s="100"/>
      <c r="D511" s="99"/>
      <c r="E511" s="99"/>
    </row>
    <row r="512" spans="1:5" x14ac:dyDescent="0.3">
      <c r="A512" s="99"/>
      <c r="B512" s="99"/>
      <c r="C512" s="100"/>
      <c r="D512" s="99"/>
      <c r="E512" s="99"/>
    </row>
    <row r="513" spans="1:5" x14ac:dyDescent="0.3">
      <c r="A513" s="99"/>
      <c r="B513" s="99"/>
      <c r="C513" s="100"/>
      <c r="D513" s="99"/>
      <c r="E513" s="99"/>
    </row>
    <row r="514" spans="1:5" x14ac:dyDescent="0.3">
      <c r="A514" s="99"/>
      <c r="B514" s="99"/>
      <c r="C514" s="100"/>
      <c r="D514" s="99"/>
      <c r="E514" s="99"/>
    </row>
    <row r="515" spans="1:5" x14ac:dyDescent="0.3">
      <c r="A515" s="99"/>
      <c r="B515" s="99"/>
      <c r="C515" s="100"/>
      <c r="D515" s="99"/>
      <c r="E515" s="99"/>
    </row>
    <row r="516" spans="1:5" x14ac:dyDescent="0.3">
      <c r="A516" s="99"/>
      <c r="B516" s="99"/>
      <c r="C516" s="100"/>
      <c r="D516" s="99"/>
      <c r="E516" s="99"/>
    </row>
    <row r="517" spans="1:5" x14ac:dyDescent="0.3">
      <c r="A517" s="99"/>
      <c r="B517" s="99"/>
      <c r="C517" s="100"/>
      <c r="D517" s="99"/>
      <c r="E517" s="99"/>
    </row>
    <row r="518" spans="1:5" x14ac:dyDescent="0.3">
      <c r="A518" s="99"/>
      <c r="B518" s="99"/>
      <c r="C518" s="100"/>
      <c r="D518" s="99"/>
      <c r="E518" s="99"/>
    </row>
    <row r="519" spans="1:5" x14ac:dyDescent="0.3">
      <c r="A519" s="99"/>
      <c r="B519" s="99"/>
      <c r="C519" s="100"/>
      <c r="D519" s="99"/>
      <c r="E519" s="99"/>
    </row>
    <row r="520" spans="1:5" x14ac:dyDescent="0.3">
      <c r="A520" s="99"/>
      <c r="B520" s="99"/>
      <c r="C520" s="100"/>
      <c r="D520" s="99"/>
      <c r="E520" s="99"/>
    </row>
    <row r="521" spans="1:5" x14ac:dyDescent="0.3">
      <c r="A521" s="99"/>
      <c r="B521" s="99"/>
      <c r="C521" s="100"/>
      <c r="D521" s="99"/>
      <c r="E521" s="99"/>
    </row>
    <row r="522" spans="1:5" x14ac:dyDescent="0.3">
      <c r="A522" s="99"/>
      <c r="B522" s="99"/>
      <c r="C522" s="100"/>
      <c r="D522" s="99"/>
      <c r="E522" s="99"/>
    </row>
    <row r="523" spans="1:5" x14ac:dyDescent="0.3">
      <c r="A523" s="99"/>
      <c r="B523" s="99"/>
      <c r="C523" s="100"/>
      <c r="D523" s="99"/>
      <c r="E523" s="99"/>
    </row>
    <row r="524" spans="1:5" x14ac:dyDescent="0.3">
      <c r="A524" s="99"/>
      <c r="B524" s="99"/>
      <c r="C524" s="100"/>
      <c r="D524" s="99"/>
      <c r="E524" s="99"/>
    </row>
    <row r="525" spans="1:5" x14ac:dyDescent="0.3">
      <c r="A525" s="99"/>
      <c r="B525" s="99"/>
      <c r="C525" s="100"/>
      <c r="D525" s="99"/>
      <c r="E525" s="99"/>
    </row>
    <row r="526" spans="1:5" x14ac:dyDescent="0.3">
      <c r="A526" s="99"/>
      <c r="B526" s="99"/>
      <c r="C526" s="100"/>
      <c r="D526" s="99"/>
      <c r="E526" s="99"/>
    </row>
    <row r="527" spans="1:5" x14ac:dyDescent="0.3">
      <c r="A527" s="99"/>
      <c r="B527" s="99"/>
      <c r="C527" s="100"/>
      <c r="D527" s="99"/>
      <c r="E527" s="99"/>
    </row>
    <row r="528" spans="1:5" x14ac:dyDescent="0.3">
      <c r="A528" s="99"/>
      <c r="B528" s="99"/>
      <c r="C528" s="100"/>
      <c r="D528" s="99"/>
      <c r="E528" s="99"/>
    </row>
    <row r="529" spans="1:5" x14ac:dyDescent="0.3">
      <c r="A529" s="99"/>
      <c r="B529" s="99"/>
      <c r="C529" s="100"/>
      <c r="D529" s="99"/>
      <c r="E529" s="99"/>
    </row>
    <row r="530" spans="1:5" x14ac:dyDescent="0.3">
      <c r="A530" s="99"/>
      <c r="B530" s="99"/>
      <c r="C530" s="100"/>
      <c r="D530" s="99"/>
      <c r="E530" s="99"/>
    </row>
    <row r="531" spans="1:5" x14ac:dyDescent="0.3">
      <c r="A531" s="99"/>
      <c r="B531" s="99"/>
      <c r="C531" s="100"/>
      <c r="D531" s="99"/>
      <c r="E531" s="99"/>
    </row>
    <row r="532" spans="1:5" x14ac:dyDescent="0.3">
      <c r="A532" s="99"/>
      <c r="B532" s="99"/>
      <c r="C532" s="100"/>
      <c r="D532" s="99"/>
      <c r="E532" s="99"/>
    </row>
    <row r="533" spans="1:5" x14ac:dyDescent="0.3">
      <c r="A533" s="99"/>
      <c r="B533" s="99"/>
      <c r="C533" s="100"/>
      <c r="D533" s="99"/>
      <c r="E533" s="99"/>
    </row>
    <row r="534" spans="1:5" x14ac:dyDescent="0.3">
      <c r="A534" s="99"/>
      <c r="B534" s="99"/>
      <c r="C534" s="100"/>
      <c r="D534" s="99"/>
      <c r="E534" s="99"/>
    </row>
    <row r="535" spans="1:5" x14ac:dyDescent="0.3">
      <c r="A535" s="99"/>
      <c r="B535" s="99"/>
      <c r="C535" s="100"/>
      <c r="D535" s="99"/>
      <c r="E535" s="99"/>
    </row>
    <row r="536" spans="1:5" x14ac:dyDescent="0.3">
      <c r="A536" s="99"/>
      <c r="B536" s="99"/>
      <c r="C536" s="100"/>
      <c r="D536" s="99"/>
      <c r="E536" s="99"/>
    </row>
    <row r="537" spans="1:5" x14ac:dyDescent="0.3">
      <c r="A537" s="99"/>
      <c r="B537" s="99"/>
      <c r="C537" s="100"/>
      <c r="D537" s="99"/>
      <c r="E537" s="99"/>
    </row>
    <row r="538" spans="1:5" x14ac:dyDescent="0.3">
      <c r="A538" s="99"/>
      <c r="B538" s="99"/>
      <c r="C538" s="100"/>
      <c r="D538" s="99"/>
      <c r="E538" s="99"/>
    </row>
    <row r="539" spans="1:5" x14ac:dyDescent="0.3">
      <c r="A539" s="99"/>
      <c r="B539" s="99"/>
      <c r="C539" s="100"/>
      <c r="D539" s="99"/>
      <c r="E539" s="99"/>
    </row>
    <row r="540" spans="1:5" x14ac:dyDescent="0.3">
      <c r="A540" s="99"/>
      <c r="B540" s="99"/>
      <c r="C540" s="100"/>
      <c r="D540" s="99"/>
      <c r="E540" s="99"/>
    </row>
    <row r="541" spans="1:5" x14ac:dyDescent="0.3">
      <c r="A541" s="99"/>
      <c r="B541" s="99"/>
      <c r="C541" s="100"/>
      <c r="D541" s="99"/>
      <c r="E541" s="99"/>
    </row>
    <row r="542" spans="1:5" x14ac:dyDescent="0.3">
      <c r="A542" s="99"/>
      <c r="B542" s="99"/>
      <c r="C542" s="100"/>
      <c r="D542" s="99"/>
      <c r="E542" s="99"/>
    </row>
    <row r="543" spans="1:5" x14ac:dyDescent="0.3">
      <c r="A543" s="99"/>
      <c r="B543" s="99"/>
      <c r="C543" s="100"/>
      <c r="D543" s="99"/>
      <c r="E543" s="99"/>
    </row>
    <row r="544" spans="1:5" x14ac:dyDescent="0.3">
      <c r="A544" s="99"/>
      <c r="B544" s="99"/>
      <c r="C544" s="100"/>
      <c r="D544" s="99"/>
      <c r="E544" s="99"/>
    </row>
    <row r="545" spans="1:5" x14ac:dyDescent="0.3">
      <c r="A545" s="99"/>
      <c r="B545" s="99"/>
      <c r="C545" s="100"/>
      <c r="D545" s="99"/>
      <c r="E545" s="99"/>
    </row>
    <row r="546" spans="1:5" x14ac:dyDescent="0.3">
      <c r="A546" s="99"/>
      <c r="B546" s="99"/>
      <c r="C546" s="100"/>
      <c r="D546" s="99"/>
      <c r="E546" s="99"/>
    </row>
    <row r="547" spans="1:5" x14ac:dyDescent="0.3">
      <c r="A547" s="99"/>
      <c r="B547" s="99"/>
      <c r="C547" s="100"/>
      <c r="D547" s="99"/>
      <c r="E547" s="99"/>
    </row>
    <row r="548" spans="1:5" x14ac:dyDescent="0.3">
      <c r="A548" s="99"/>
      <c r="B548" s="99"/>
      <c r="C548" s="100"/>
      <c r="D548" s="99"/>
      <c r="E548" s="99"/>
    </row>
    <row r="549" spans="1:5" x14ac:dyDescent="0.3">
      <c r="A549" s="99"/>
      <c r="B549" s="99"/>
      <c r="C549" s="100"/>
      <c r="D549" s="99"/>
      <c r="E549" s="99"/>
    </row>
    <row r="550" spans="1:5" x14ac:dyDescent="0.3">
      <c r="A550" s="99"/>
      <c r="B550" s="99"/>
      <c r="C550" s="100"/>
      <c r="D550" s="99"/>
      <c r="E550" s="99"/>
    </row>
    <row r="551" spans="1:5" x14ac:dyDescent="0.3">
      <c r="A551" s="99"/>
      <c r="B551" s="99"/>
      <c r="C551" s="100"/>
      <c r="D551" s="99"/>
      <c r="E551" s="99"/>
    </row>
    <row r="552" spans="1:5" x14ac:dyDescent="0.3">
      <c r="A552" s="99"/>
      <c r="B552" s="99"/>
      <c r="C552" s="100"/>
      <c r="D552" s="99"/>
      <c r="E552" s="99"/>
    </row>
    <row r="553" spans="1:5" x14ac:dyDescent="0.3">
      <c r="A553" s="99"/>
      <c r="B553" s="99"/>
      <c r="C553" s="100"/>
      <c r="D553" s="99"/>
      <c r="E553" s="99"/>
    </row>
    <row r="554" spans="1:5" x14ac:dyDescent="0.3">
      <c r="A554" s="99"/>
      <c r="B554" s="99"/>
      <c r="C554" s="100"/>
      <c r="D554" s="99"/>
      <c r="E554" s="99"/>
    </row>
    <row r="555" spans="1:5" x14ac:dyDescent="0.3">
      <c r="A555" s="99"/>
      <c r="B555" s="99"/>
      <c r="C555" s="100"/>
      <c r="D555" s="99"/>
      <c r="E555" s="99"/>
    </row>
    <row r="556" spans="1:5" x14ac:dyDescent="0.3">
      <c r="A556" s="99"/>
      <c r="B556" s="99"/>
      <c r="C556" s="100"/>
      <c r="D556" s="99"/>
      <c r="E556" s="99"/>
    </row>
    <row r="557" spans="1:5" x14ac:dyDescent="0.3">
      <c r="A557" s="99"/>
      <c r="B557" s="99"/>
      <c r="C557" s="100"/>
      <c r="D557" s="99"/>
      <c r="E557" s="99"/>
    </row>
    <row r="558" spans="1:5" x14ac:dyDescent="0.3">
      <c r="A558" s="99"/>
      <c r="B558" s="99"/>
      <c r="C558" s="100"/>
      <c r="D558" s="99"/>
      <c r="E558" s="99"/>
    </row>
    <row r="559" spans="1:5" x14ac:dyDescent="0.3">
      <c r="A559" s="99"/>
      <c r="B559" s="99"/>
      <c r="C559" s="100"/>
      <c r="D559" s="99"/>
      <c r="E559" s="99"/>
    </row>
    <row r="560" spans="1:5" x14ac:dyDescent="0.3">
      <c r="A560" s="99"/>
      <c r="B560" s="99"/>
      <c r="C560" s="100"/>
      <c r="D560" s="99"/>
      <c r="E560" s="99"/>
    </row>
    <row r="561" spans="1:5" x14ac:dyDescent="0.3">
      <c r="A561" s="99"/>
      <c r="B561" s="99"/>
      <c r="C561" s="100"/>
      <c r="D561" s="99"/>
      <c r="E561" s="99"/>
    </row>
    <row r="562" spans="1:5" x14ac:dyDescent="0.3">
      <c r="A562" s="99"/>
      <c r="B562" s="99"/>
      <c r="C562" s="100"/>
      <c r="D562" s="99"/>
      <c r="E562" s="99"/>
    </row>
    <row r="563" spans="1:5" x14ac:dyDescent="0.3">
      <c r="A563" s="99"/>
      <c r="B563" s="99"/>
      <c r="C563" s="100"/>
      <c r="D563" s="99"/>
      <c r="E563" s="99"/>
    </row>
    <row r="564" spans="1:5" x14ac:dyDescent="0.3">
      <c r="A564" s="99"/>
      <c r="B564" s="99"/>
      <c r="C564" s="100"/>
      <c r="D564" s="99"/>
      <c r="E564" s="99"/>
    </row>
    <row r="565" spans="1:5" x14ac:dyDescent="0.3">
      <c r="A565" s="99"/>
      <c r="B565" s="99"/>
      <c r="C565" s="100"/>
      <c r="D565" s="99"/>
      <c r="E565" s="99"/>
    </row>
    <row r="566" spans="1:5" x14ac:dyDescent="0.3">
      <c r="A566" s="99"/>
      <c r="B566" s="99"/>
      <c r="C566" s="100"/>
      <c r="D566" s="99"/>
      <c r="E566" s="99"/>
    </row>
    <row r="567" spans="1:5" x14ac:dyDescent="0.3">
      <c r="A567" s="99"/>
      <c r="B567" s="99"/>
      <c r="C567" s="100"/>
      <c r="D567" s="99"/>
      <c r="E567" s="99"/>
    </row>
    <row r="568" spans="1:5" x14ac:dyDescent="0.3">
      <c r="A568" s="99"/>
      <c r="B568" s="99"/>
      <c r="C568" s="100"/>
      <c r="D568" s="99"/>
      <c r="E568" s="99"/>
    </row>
    <row r="569" spans="1:5" x14ac:dyDescent="0.3">
      <c r="A569" s="99"/>
      <c r="B569" s="99"/>
      <c r="C569" s="100"/>
      <c r="D569" s="99"/>
      <c r="E569" s="99"/>
    </row>
    <row r="570" spans="1:5" x14ac:dyDescent="0.3">
      <c r="A570" s="99"/>
      <c r="B570" s="99"/>
      <c r="C570" s="100"/>
      <c r="D570" s="99"/>
      <c r="E570" s="99"/>
    </row>
    <row r="571" spans="1:5" x14ac:dyDescent="0.3">
      <c r="A571" s="99"/>
      <c r="B571" s="99"/>
      <c r="C571" s="100"/>
      <c r="D571" s="99"/>
      <c r="E571" s="99"/>
    </row>
    <row r="572" spans="1:5" x14ac:dyDescent="0.3">
      <c r="A572" s="99"/>
      <c r="B572" s="99"/>
      <c r="C572" s="100"/>
      <c r="D572" s="99"/>
      <c r="E572" s="99"/>
    </row>
    <row r="573" spans="1:5" x14ac:dyDescent="0.3">
      <c r="A573" s="99"/>
      <c r="B573" s="99"/>
      <c r="C573" s="100"/>
      <c r="D573" s="99"/>
      <c r="E573" s="99"/>
    </row>
    <row r="574" spans="1:5" x14ac:dyDescent="0.3">
      <c r="A574" s="99"/>
      <c r="B574" s="99"/>
      <c r="C574" s="100"/>
      <c r="D574" s="99"/>
      <c r="E574" s="99"/>
    </row>
    <row r="575" spans="1:5" x14ac:dyDescent="0.3">
      <c r="A575" s="99"/>
      <c r="B575" s="99"/>
      <c r="C575" s="100"/>
      <c r="D575" s="99"/>
      <c r="E575" s="99"/>
    </row>
    <row r="576" spans="1:5" x14ac:dyDescent="0.3">
      <c r="A576" s="99"/>
      <c r="B576" s="99"/>
      <c r="C576" s="100"/>
      <c r="D576" s="99"/>
      <c r="E576" s="99"/>
    </row>
    <row r="577" spans="1:5" x14ac:dyDescent="0.3">
      <c r="A577" s="99"/>
      <c r="B577" s="99"/>
      <c r="C577" s="100"/>
      <c r="D577" s="99"/>
      <c r="E577" s="99"/>
    </row>
    <row r="578" spans="1:5" x14ac:dyDescent="0.3">
      <c r="A578" s="99"/>
      <c r="B578" s="99"/>
      <c r="C578" s="100"/>
      <c r="D578" s="99"/>
      <c r="E578" s="99"/>
    </row>
    <row r="579" spans="1:5" x14ac:dyDescent="0.3">
      <c r="A579" s="99"/>
      <c r="B579" s="99"/>
      <c r="C579" s="100"/>
      <c r="D579" s="99"/>
      <c r="E579" s="99"/>
    </row>
    <row r="580" spans="1:5" x14ac:dyDescent="0.3">
      <c r="A580" s="99"/>
      <c r="B580" s="99"/>
      <c r="C580" s="100"/>
      <c r="D580" s="99"/>
      <c r="E580" s="99"/>
    </row>
    <row r="581" spans="1:5" x14ac:dyDescent="0.3">
      <c r="A581" s="99"/>
      <c r="B581" s="99"/>
      <c r="C581" s="100"/>
      <c r="D581" s="99"/>
      <c r="E581" s="99"/>
    </row>
    <row r="582" spans="1:5" x14ac:dyDescent="0.3">
      <c r="A582" s="99"/>
      <c r="B582" s="99"/>
      <c r="C582" s="100"/>
      <c r="D582" s="99"/>
      <c r="E582" s="99"/>
    </row>
    <row r="583" spans="1:5" x14ac:dyDescent="0.3">
      <c r="A583" s="99"/>
      <c r="B583" s="99"/>
      <c r="C583" s="100"/>
      <c r="D583" s="99"/>
      <c r="E583" s="99"/>
    </row>
    <row r="584" spans="1:5" x14ac:dyDescent="0.3">
      <c r="A584" s="99"/>
      <c r="B584" s="99"/>
      <c r="C584" s="100"/>
      <c r="D584" s="99"/>
      <c r="E584" s="99"/>
    </row>
    <row r="585" spans="1:5" x14ac:dyDescent="0.3">
      <c r="A585" s="99"/>
      <c r="B585" s="99"/>
      <c r="C585" s="100"/>
      <c r="D585" s="99"/>
      <c r="E585" s="99"/>
    </row>
    <row r="586" spans="1:5" x14ac:dyDescent="0.3">
      <c r="A586" s="99"/>
      <c r="B586" s="99"/>
      <c r="C586" s="100"/>
      <c r="D586" s="99"/>
      <c r="E586" s="99"/>
    </row>
    <row r="587" spans="1:5" x14ac:dyDescent="0.3">
      <c r="A587" s="99"/>
      <c r="B587" s="99"/>
      <c r="C587" s="100"/>
      <c r="D587" s="99"/>
      <c r="E587" s="99"/>
    </row>
    <row r="588" spans="1:5" x14ac:dyDescent="0.3">
      <c r="A588" s="99"/>
      <c r="B588" s="99"/>
      <c r="C588" s="100"/>
      <c r="D588" s="99"/>
      <c r="E588" s="99"/>
    </row>
    <row r="589" spans="1:5" x14ac:dyDescent="0.3">
      <c r="A589" s="99"/>
      <c r="B589" s="99"/>
      <c r="C589" s="100"/>
      <c r="D589" s="99"/>
      <c r="E589" s="99"/>
    </row>
    <row r="590" spans="1:5" x14ac:dyDescent="0.3">
      <c r="A590" s="99"/>
      <c r="B590" s="99"/>
      <c r="C590" s="100"/>
      <c r="D590" s="99"/>
      <c r="E590" s="99"/>
    </row>
    <row r="591" spans="1:5" x14ac:dyDescent="0.3">
      <c r="A591" s="99"/>
      <c r="B591" s="99"/>
      <c r="C591" s="100"/>
      <c r="D591" s="99"/>
      <c r="E591" s="99"/>
    </row>
    <row r="592" spans="1:5" x14ac:dyDescent="0.3">
      <c r="A592" s="99"/>
      <c r="B592" s="99"/>
      <c r="C592" s="100"/>
      <c r="D592" s="99"/>
      <c r="E592" s="99"/>
    </row>
    <row r="593" spans="1:5" x14ac:dyDescent="0.3">
      <c r="A593" s="99"/>
      <c r="B593" s="99"/>
      <c r="C593" s="100"/>
      <c r="D593" s="99"/>
      <c r="E593" s="99"/>
    </row>
    <row r="594" spans="1:5" x14ac:dyDescent="0.3">
      <c r="A594" s="99"/>
      <c r="B594" s="99"/>
      <c r="C594" s="100"/>
      <c r="D594" s="99"/>
      <c r="E594" s="99"/>
    </row>
    <row r="595" spans="1:5" x14ac:dyDescent="0.3">
      <c r="A595" s="99"/>
      <c r="B595" s="99"/>
      <c r="C595" s="100"/>
      <c r="D595" s="99"/>
      <c r="E595" s="99"/>
    </row>
    <row r="596" spans="1:5" x14ac:dyDescent="0.3">
      <c r="A596" s="99"/>
      <c r="B596" s="99"/>
      <c r="C596" s="100"/>
      <c r="D596" s="99"/>
      <c r="E596" s="99"/>
    </row>
    <row r="597" spans="1:5" x14ac:dyDescent="0.3">
      <c r="A597" s="99"/>
      <c r="B597" s="99"/>
      <c r="C597" s="100"/>
      <c r="D597" s="99"/>
      <c r="E597" s="99"/>
    </row>
    <row r="598" spans="1:5" x14ac:dyDescent="0.3">
      <c r="A598" s="99"/>
      <c r="B598" s="99"/>
      <c r="C598" s="100"/>
      <c r="D598" s="99"/>
      <c r="E598" s="99"/>
    </row>
    <row r="599" spans="1:5" x14ac:dyDescent="0.3">
      <c r="A599" s="99"/>
      <c r="B599" s="99"/>
      <c r="C599" s="100"/>
      <c r="D599" s="99"/>
      <c r="E599" s="99"/>
    </row>
    <row r="600" spans="1:5" x14ac:dyDescent="0.3">
      <c r="A600" s="99"/>
      <c r="B600" s="99"/>
      <c r="C600" s="100"/>
      <c r="D600" s="99"/>
      <c r="E600" s="99"/>
    </row>
    <row r="601" spans="1:5" x14ac:dyDescent="0.3">
      <c r="A601" s="99"/>
      <c r="B601" s="99"/>
      <c r="C601" s="100"/>
      <c r="D601" s="99"/>
      <c r="E601" s="99"/>
    </row>
    <row r="602" spans="1:5" x14ac:dyDescent="0.3">
      <c r="A602" s="99"/>
      <c r="B602" s="99"/>
      <c r="C602" s="100"/>
      <c r="D602" s="99"/>
      <c r="E602" s="99"/>
    </row>
    <row r="603" spans="1:5" x14ac:dyDescent="0.3">
      <c r="A603" s="99"/>
      <c r="B603" s="99"/>
      <c r="C603" s="100"/>
      <c r="D603" s="99"/>
      <c r="E603" s="99"/>
    </row>
    <row r="604" spans="1:5" x14ac:dyDescent="0.3">
      <c r="A604" s="99"/>
      <c r="B604" s="99"/>
      <c r="C604" s="100"/>
      <c r="D604" s="99"/>
      <c r="E604" s="99"/>
    </row>
    <row r="605" spans="1:5" x14ac:dyDescent="0.3">
      <c r="A605" s="99"/>
      <c r="B605" s="99"/>
      <c r="C605" s="100"/>
      <c r="D605" s="99"/>
      <c r="E605" s="99"/>
    </row>
    <row r="606" spans="1:5" x14ac:dyDescent="0.3">
      <c r="A606" s="99"/>
      <c r="B606" s="99"/>
      <c r="C606" s="100"/>
      <c r="D606" s="99"/>
      <c r="E606" s="99"/>
    </row>
    <row r="607" spans="1:5" x14ac:dyDescent="0.3">
      <c r="A607" s="99"/>
      <c r="B607" s="99"/>
      <c r="C607" s="100"/>
      <c r="D607" s="99"/>
      <c r="E607" s="99"/>
    </row>
    <row r="608" spans="1:5" x14ac:dyDescent="0.3">
      <c r="A608" s="99"/>
      <c r="B608" s="99"/>
      <c r="C608" s="100"/>
      <c r="D608" s="99"/>
      <c r="E608" s="99"/>
    </row>
    <row r="609" spans="1:5" x14ac:dyDescent="0.3">
      <c r="A609" s="99"/>
      <c r="B609" s="99"/>
      <c r="C609" s="100"/>
      <c r="D609" s="99"/>
      <c r="E609" s="99"/>
    </row>
    <row r="610" spans="1:5" x14ac:dyDescent="0.3">
      <c r="A610" s="99"/>
      <c r="B610" s="99"/>
      <c r="C610" s="100"/>
      <c r="D610" s="99"/>
      <c r="E610" s="99"/>
    </row>
    <row r="611" spans="1:5" x14ac:dyDescent="0.3">
      <c r="A611" s="99"/>
      <c r="B611" s="99"/>
      <c r="C611" s="100"/>
      <c r="D611" s="99"/>
      <c r="E611" s="99"/>
    </row>
    <row r="612" spans="1:5" x14ac:dyDescent="0.3">
      <c r="A612" s="99"/>
      <c r="B612" s="99"/>
      <c r="C612" s="100"/>
      <c r="D612" s="99"/>
      <c r="E612" s="99"/>
    </row>
    <row r="613" spans="1:5" x14ac:dyDescent="0.3">
      <c r="A613" s="99"/>
      <c r="B613" s="99"/>
      <c r="C613" s="100"/>
      <c r="D613" s="99"/>
      <c r="E613" s="99"/>
    </row>
    <row r="614" spans="1:5" x14ac:dyDescent="0.3">
      <c r="A614" s="99"/>
      <c r="B614" s="99"/>
      <c r="C614" s="100"/>
      <c r="D614" s="99"/>
      <c r="E614" s="99"/>
    </row>
    <row r="615" spans="1:5" x14ac:dyDescent="0.3">
      <c r="A615" s="99"/>
      <c r="B615" s="99"/>
      <c r="C615" s="100"/>
      <c r="D615" s="99"/>
      <c r="E615" s="99"/>
    </row>
    <row r="616" spans="1:5" x14ac:dyDescent="0.3">
      <c r="A616" s="99"/>
      <c r="B616" s="99"/>
      <c r="C616" s="100"/>
      <c r="D616" s="99"/>
      <c r="E616" s="99"/>
    </row>
    <row r="617" spans="1:5" x14ac:dyDescent="0.3">
      <c r="A617" s="99"/>
      <c r="B617" s="99"/>
      <c r="C617" s="100"/>
      <c r="D617" s="99"/>
      <c r="E617" s="99"/>
    </row>
    <row r="618" spans="1:5" x14ac:dyDescent="0.3">
      <c r="A618" s="99"/>
      <c r="B618" s="99"/>
      <c r="C618" s="100"/>
      <c r="D618" s="99"/>
      <c r="E618" s="99"/>
    </row>
    <row r="619" spans="1:5" x14ac:dyDescent="0.3">
      <c r="A619" s="99"/>
      <c r="B619" s="99"/>
      <c r="C619" s="100"/>
      <c r="D619" s="99"/>
      <c r="E619" s="99"/>
    </row>
    <row r="620" spans="1:5" x14ac:dyDescent="0.3">
      <c r="A620" s="99"/>
      <c r="B620" s="99"/>
      <c r="C620" s="100"/>
      <c r="D620" s="99"/>
      <c r="E620" s="99"/>
    </row>
    <row r="621" spans="1:5" x14ac:dyDescent="0.3">
      <c r="A621" s="99"/>
      <c r="B621" s="99"/>
      <c r="C621" s="100"/>
      <c r="D621" s="99"/>
      <c r="E621" s="99"/>
    </row>
    <row r="622" spans="1:5" x14ac:dyDescent="0.3">
      <c r="A622" s="99"/>
      <c r="B622" s="99"/>
      <c r="C622" s="100"/>
      <c r="D622" s="99"/>
      <c r="E622" s="99"/>
    </row>
    <row r="623" spans="1:5" x14ac:dyDescent="0.3">
      <c r="A623" s="99"/>
      <c r="B623" s="99"/>
      <c r="C623" s="100"/>
      <c r="D623" s="99"/>
      <c r="E623" s="99"/>
    </row>
    <row r="624" spans="1:5" x14ac:dyDescent="0.3">
      <c r="A624" s="99"/>
      <c r="B624" s="99"/>
      <c r="C624" s="100"/>
      <c r="D624" s="99"/>
      <c r="E624" s="99"/>
    </row>
    <row r="625" spans="1:5" x14ac:dyDescent="0.3">
      <c r="A625" s="99"/>
      <c r="B625" s="99"/>
      <c r="C625" s="100"/>
      <c r="D625" s="99"/>
      <c r="E625" s="99"/>
    </row>
    <row r="626" spans="1:5" x14ac:dyDescent="0.3">
      <c r="A626" s="99"/>
      <c r="B626" s="99"/>
      <c r="C626" s="100"/>
      <c r="D626" s="99"/>
      <c r="E626" s="99"/>
    </row>
    <row r="627" spans="1:5" x14ac:dyDescent="0.3">
      <c r="A627" s="99"/>
      <c r="B627" s="99"/>
      <c r="C627" s="100"/>
      <c r="D627" s="99"/>
      <c r="E627" s="99"/>
    </row>
    <row r="628" spans="1:5" x14ac:dyDescent="0.3">
      <c r="A628" s="99"/>
      <c r="B628" s="99"/>
      <c r="C628" s="100"/>
      <c r="D628" s="99"/>
      <c r="E628" s="99"/>
    </row>
    <row r="629" spans="1:5" x14ac:dyDescent="0.3">
      <c r="A629" s="99"/>
      <c r="B629" s="99"/>
      <c r="C629" s="100"/>
      <c r="D629" s="99"/>
      <c r="E629" s="99"/>
    </row>
    <row r="630" spans="1:5" x14ac:dyDescent="0.3">
      <c r="A630" s="99"/>
      <c r="B630" s="99"/>
      <c r="C630" s="100"/>
      <c r="D630" s="99"/>
      <c r="E630" s="99"/>
    </row>
    <row r="631" spans="1:5" x14ac:dyDescent="0.3">
      <c r="A631" s="99"/>
      <c r="B631" s="99"/>
      <c r="C631" s="100"/>
      <c r="D631" s="99"/>
      <c r="E631" s="99"/>
    </row>
    <row r="632" spans="1:5" x14ac:dyDescent="0.3">
      <c r="A632" s="99"/>
      <c r="B632" s="99"/>
      <c r="C632" s="100"/>
      <c r="D632" s="99"/>
      <c r="E632" s="99"/>
    </row>
    <row r="633" spans="1:5" x14ac:dyDescent="0.3">
      <c r="A633" s="99"/>
      <c r="B633" s="99"/>
      <c r="C633" s="100"/>
      <c r="D633" s="99"/>
      <c r="E633" s="99"/>
    </row>
    <row r="634" spans="1:5" x14ac:dyDescent="0.3">
      <c r="A634" s="99"/>
      <c r="B634" s="99"/>
      <c r="C634" s="100"/>
      <c r="D634" s="99"/>
      <c r="E634" s="99"/>
    </row>
    <row r="635" spans="1:5" x14ac:dyDescent="0.3">
      <c r="A635" s="99"/>
      <c r="B635" s="99"/>
      <c r="C635" s="100"/>
      <c r="D635" s="99"/>
      <c r="E635" s="99"/>
    </row>
    <row r="636" spans="1:5" x14ac:dyDescent="0.3">
      <c r="A636" s="99"/>
      <c r="B636" s="99"/>
      <c r="C636" s="100"/>
      <c r="D636" s="99"/>
      <c r="E636" s="99"/>
    </row>
    <row r="637" spans="1:5" x14ac:dyDescent="0.3">
      <c r="A637" s="99"/>
      <c r="B637" s="99"/>
      <c r="C637" s="100"/>
      <c r="D637" s="99"/>
      <c r="E637" s="99"/>
    </row>
    <row r="638" spans="1:5" x14ac:dyDescent="0.3">
      <c r="A638" s="99"/>
      <c r="B638" s="99"/>
      <c r="C638" s="100"/>
      <c r="D638" s="99"/>
      <c r="E638" s="99"/>
    </row>
    <row r="639" spans="1:5" x14ac:dyDescent="0.3">
      <c r="A639" s="99"/>
      <c r="B639" s="99"/>
      <c r="C639" s="100"/>
      <c r="D639" s="99"/>
      <c r="E639" s="99"/>
    </row>
    <row r="640" spans="1:5" x14ac:dyDescent="0.3">
      <c r="A640" s="99"/>
      <c r="B640" s="99"/>
      <c r="C640" s="100"/>
      <c r="D640" s="99"/>
      <c r="E640" s="99"/>
    </row>
    <row r="641" spans="1:5" x14ac:dyDescent="0.3">
      <c r="A641" s="99"/>
      <c r="B641" s="99"/>
      <c r="C641" s="100"/>
      <c r="D641" s="99"/>
      <c r="E641" s="99"/>
    </row>
    <row r="642" spans="1:5" x14ac:dyDescent="0.3">
      <c r="A642" s="99"/>
      <c r="B642" s="99"/>
      <c r="C642" s="100"/>
      <c r="D642" s="99"/>
      <c r="E642" s="99"/>
    </row>
    <row r="643" spans="1:5" x14ac:dyDescent="0.3">
      <c r="A643" s="99"/>
      <c r="B643" s="99"/>
      <c r="C643" s="100"/>
      <c r="D643" s="99"/>
      <c r="E643" s="99"/>
    </row>
    <row r="644" spans="1:5" x14ac:dyDescent="0.3">
      <c r="A644" s="99"/>
      <c r="B644" s="99"/>
      <c r="C644" s="100"/>
      <c r="D644" s="99"/>
      <c r="E644" s="99"/>
    </row>
    <row r="645" spans="1:5" x14ac:dyDescent="0.3">
      <c r="A645" s="99"/>
      <c r="B645" s="99"/>
      <c r="C645" s="100"/>
      <c r="D645" s="99"/>
      <c r="E645" s="99"/>
    </row>
    <row r="646" spans="1:5" x14ac:dyDescent="0.3">
      <c r="A646" s="99"/>
      <c r="B646" s="99"/>
      <c r="C646" s="100"/>
      <c r="D646" s="99"/>
      <c r="E646" s="99"/>
    </row>
    <row r="647" spans="1:5" x14ac:dyDescent="0.3">
      <c r="A647" s="99"/>
      <c r="B647" s="99"/>
      <c r="C647" s="100"/>
      <c r="D647" s="99"/>
      <c r="E647" s="99"/>
    </row>
    <row r="648" spans="1:5" x14ac:dyDescent="0.3">
      <c r="A648" s="99"/>
      <c r="B648" s="99"/>
      <c r="C648" s="100"/>
      <c r="D648" s="99"/>
      <c r="E648" s="99"/>
    </row>
    <row r="649" spans="1:5" x14ac:dyDescent="0.3">
      <c r="A649" s="99"/>
      <c r="B649" s="99"/>
      <c r="C649" s="100"/>
      <c r="D649" s="99"/>
      <c r="E649" s="99"/>
    </row>
    <row r="650" spans="1:5" x14ac:dyDescent="0.3">
      <c r="A650" s="99"/>
      <c r="B650" s="99"/>
      <c r="C650" s="100"/>
      <c r="D650" s="99"/>
      <c r="E650" s="99"/>
    </row>
    <row r="651" spans="1:5" x14ac:dyDescent="0.3">
      <c r="A651" s="99"/>
      <c r="B651" s="99"/>
      <c r="C651" s="100"/>
      <c r="D651" s="99"/>
      <c r="E651" s="99"/>
    </row>
    <row r="652" spans="1:5" x14ac:dyDescent="0.3">
      <c r="A652" s="99"/>
      <c r="B652" s="99"/>
      <c r="C652" s="100"/>
      <c r="D652" s="99"/>
      <c r="E652" s="99"/>
    </row>
    <row r="653" spans="1:5" x14ac:dyDescent="0.3">
      <c r="A653" s="99"/>
      <c r="B653" s="99"/>
      <c r="C653" s="100"/>
      <c r="D653" s="99"/>
      <c r="E653" s="99"/>
    </row>
    <row r="654" spans="1:5" x14ac:dyDescent="0.3">
      <c r="A654" s="99"/>
      <c r="B654" s="99"/>
      <c r="C654" s="100"/>
      <c r="D654" s="99"/>
      <c r="E654" s="99"/>
    </row>
    <row r="655" spans="1:5" x14ac:dyDescent="0.3">
      <c r="A655" s="99"/>
      <c r="B655" s="99"/>
      <c r="C655" s="100"/>
      <c r="D655" s="99"/>
      <c r="E655" s="99"/>
    </row>
    <row r="656" spans="1:5" x14ac:dyDescent="0.3">
      <c r="A656" s="99"/>
      <c r="B656" s="99"/>
      <c r="C656" s="100"/>
      <c r="D656" s="99"/>
      <c r="E656" s="99"/>
    </row>
    <row r="657" spans="1:5" x14ac:dyDescent="0.3">
      <c r="A657" s="99"/>
      <c r="B657" s="99"/>
      <c r="C657" s="100"/>
      <c r="D657" s="99"/>
      <c r="E657" s="99"/>
    </row>
    <row r="658" spans="1:5" x14ac:dyDescent="0.3">
      <c r="A658" s="99"/>
      <c r="B658" s="99"/>
      <c r="C658" s="100"/>
      <c r="D658" s="99"/>
      <c r="E658" s="99"/>
    </row>
    <row r="659" spans="1:5" x14ac:dyDescent="0.3">
      <c r="A659" s="99"/>
      <c r="B659" s="99"/>
      <c r="C659" s="100"/>
      <c r="D659" s="99"/>
      <c r="E659" s="99"/>
    </row>
    <row r="660" spans="1:5" x14ac:dyDescent="0.3">
      <c r="A660" s="99"/>
      <c r="B660" s="99"/>
      <c r="C660" s="100"/>
      <c r="D660" s="99"/>
      <c r="E660" s="99"/>
    </row>
    <row r="661" spans="1:5" x14ac:dyDescent="0.3">
      <c r="A661" s="99"/>
      <c r="B661" s="99"/>
      <c r="C661" s="100"/>
      <c r="D661" s="99"/>
      <c r="E661" s="99"/>
    </row>
    <row r="662" spans="1:5" x14ac:dyDescent="0.3">
      <c r="A662" s="99"/>
      <c r="B662" s="99"/>
      <c r="C662" s="100"/>
      <c r="D662" s="99"/>
      <c r="E662" s="99"/>
    </row>
    <row r="663" spans="1:5" x14ac:dyDescent="0.3">
      <c r="A663" s="99"/>
      <c r="B663" s="99"/>
      <c r="C663" s="100"/>
      <c r="D663" s="99"/>
      <c r="E663" s="99"/>
    </row>
    <row r="664" spans="1:5" x14ac:dyDescent="0.3">
      <c r="A664" s="99"/>
      <c r="B664" s="99"/>
      <c r="C664" s="100"/>
      <c r="D664" s="99"/>
      <c r="E664" s="99"/>
    </row>
    <row r="665" spans="1:5" x14ac:dyDescent="0.3">
      <c r="A665" s="99"/>
      <c r="B665" s="99"/>
      <c r="C665" s="100"/>
      <c r="D665" s="99"/>
      <c r="E665" s="99"/>
    </row>
    <row r="666" spans="1:5" x14ac:dyDescent="0.3">
      <c r="A666" s="99"/>
      <c r="B666" s="99"/>
      <c r="C666" s="100"/>
      <c r="D666" s="99"/>
      <c r="E666" s="99"/>
    </row>
    <row r="667" spans="1:5" x14ac:dyDescent="0.3">
      <c r="A667" s="99"/>
      <c r="B667" s="99"/>
      <c r="C667" s="100"/>
      <c r="D667" s="99"/>
      <c r="E667" s="99"/>
    </row>
    <row r="668" spans="1:5" x14ac:dyDescent="0.3">
      <c r="A668" s="99"/>
      <c r="B668" s="99"/>
      <c r="C668" s="100"/>
      <c r="D668" s="99"/>
      <c r="E668" s="99"/>
    </row>
    <row r="669" spans="1:5" x14ac:dyDescent="0.3">
      <c r="A669" s="99"/>
      <c r="B669" s="99"/>
      <c r="C669" s="100"/>
      <c r="D669" s="99"/>
      <c r="E669" s="99"/>
    </row>
    <row r="670" spans="1:5" x14ac:dyDescent="0.3">
      <c r="A670" s="99"/>
      <c r="B670" s="99"/>
      <c r="C670" s="100"/>
      <c r="D670" s="99"/>
      <c r="E670" s="99"/>
    </row>
    <row r="671" spans="1:5" x14ac:dyDescent="0.3">
      <c r="A671" s="99"/>
      <c r="B671" s="99"/>
      <c r="C671" s="100"/>
      <c r="D671" s="99"/>
      <c r="E671" s="99"/>
    </row>
    <row r="672" spans="1:5" x14ac:dyDescent="0.3">
      <c r="A672" s="99"/>
      <c r="B672" s="99"/>
      <c r="C672" s="100"/>
      <c r="D672" s="99"/>
      <c r="E672" s="99"/>
    </row>
    <row r="673" spans="1:5" x14ac:dyDescent="0.3">
      <c r="A673" s="99"/>
      <c r="B673" s="99"/>
      <c r="C673" s="100"/>
      <c r="D673" s="99"/>
      <c r="E673" s="99"/>
    </row>
    <row r="674" spans="1:5" x14ac:dyDescent="0.3">
      <c r="A674" s="99"/>
      <c r="B674" s="99"/>
      <c r="C674" s="100"/>
      <c r="D674" s="99"/>
      <c r="E674" s="99"/>
    </row>
    <row r="675" spans="1:5" x14ac:dyDescent="0.3">
      <c r="A675" s="99"/>
      <c r="B675" s="99"/>
      <c r="C675" s="100"/>
      <c r="D675" s="99"/>
      <c r="E675" s="99"/>
    </row>
    <row r="676" spans="1:5" x14ac:dyDescent="0.3">
      <c r="A676" s="99"/>
      <c r="B676" s="99"/>
      <c r="C676" s="100"/>
      <c r="D676" s="99"/>
      <c r="E676" s="99"/>
    </row>
    <row r="677" spans="1:5" x14ac:dyDescent="0.3">
      <c r="A677" s="99"/>
      <c r="B677" s="99"/>
      <c r="C677" s="100"/>
      <c r="D677" s="99"/>
      <c r="E677" s="99"/>
    </row>
    <row r="678" spans="1:5" x14ac:dyDescent="0.3">
      <c r="A678" s="99"/>
      <c r="B678" s="99"/>
      <c r="C678" s="100"/>
      <c r="D678" s="99"/>
      <c r="E678" s="99"/>
    </row>
    <row r="679" spans="1:5" x14ac:dyDescent="0.3">
      <c r="A679" s="99"/>
      <c r="B679" s="99"/>
      <c r="C679" s="100"/>
      <c r="D679" s="99"/>
      <c r="E679" s="99"/>
    </row>
    <row r="680" spans="1:5" x14ac:dyDescent="0.3">
      <c r="A680" s="99"/>
      <c r="B680" s="99"/>
      <c r="C680" s="100"/>
      <c r="D680" s="99"/>
      <c r="E680" s="99"/>
    </row>
    <row r="681" spans="1:5" x14ac:dyDescent="0.3">
      <c r="A681" s="99"/>
      <c r="B681" s="99"/>
      <c r="C681" s="100"/>
      <c r="D681" s="99"/>
      <c r="E681" s="99"/>
    </row>
    <row r="682" spans="1:5" x14ac:dyDescent="0.3">
      <c r="A682" s="99"/>
      <c r="B682" s="99"/>
      <c r="C682" s="100"/>
      <c r="D682" s="99"/>
      <c r="E682" s="99"/>
    </row>
    <row r="683" spans="1:5" x14ac:dyDescent="0.3">
      <c r="A683" s="99"/>
      <c r="B683" s="99"/>
      <c r="C683" s="100"/>
      <c r="D683" s="99"/>
      <c r="E683" s="99"/>
    </row>
    <row r="684" spans="1:5" x14ac:dyDescent="0.3">
      <c r="A684" s="99"/>
      <c r="B684" s="99"/>
      <c r="C684" s="100"/>
      <c r="D684" s="99"/>
      <c r="E684" s="99"/>
    </row>
    <row r="685" spans="1:5" x14ac:dyDescent="0.3">
      <c r="A685" s="99"/>
      <c r="B685" s="99"/>
      <c r="C685" s="100"/>
      <c r="D685" s="99"/>
      <c r="E685" s="99"/>
    </row>
    <row r="686" spans="1:5" x14ac:dyDescent="0.3">
      <c r="A686" s="99"/>
      <c r="B686" s="99"/>
      <c r="C686" s="100"/>
      <c r="D686" s="99"/>
      <c r="E686" s="99"/>
    </row>
    <row r="687" spans="1:5" x14ac:dyDescent="0.3">
      <c r="A687" s="99"/>
      <c r="B687" s="99"/>
      <c r="C687" s="100"/>
      <c r="D687" s="99"/>
      <c r="E687" s="99"/>
    </row>
    <row r="688" spans="1:5" x14ac:dyDescent="0.3">
      <c r="A688" s="99"/>
      <c r="B688" s="99"/>
      <c r="C688" s="100"/>
      <c r="D688" s="99"/>
      <c r="E688" s="99"/>
    </row>
    <row r="689" spans="1:5" x14ac:dyDescent="0.3">
      <c r="A689" s="99"/>
      <c r="B689" s="99"/>
      <c r="C689" s="100"/>
      <c r="D689" s="99"/>
      <c r="E689" s="99"/>
    </row>
    <row r="690" spans="1:5" x14ac:dyDescent="0.3">
      <c r="A690" s="99"/>
      <c r="B690" s="99"/>
      <c r="C690" s="100"/>
      <c r="D690" s="99"/>
      <c r="E690" s="99"/>
    </row>
    <row r="691" spans="1:5" x14ac:dyDescent="0.3">
      <c r="A691" s="99"/>
      <c r="B691" s="99"/>
      <c r="C691" s="100"/>
      <c r="D691" s="99"/>
      <c r="E691" s="99"/>
    </row>
    <row r="692" spans="1:5" x14ac:dyDescent="0.3">
      <c r="A692" s="99"/>
      <c r="B692" s="99"/>
      <c r="C692" s="100"/>
      <c r="D692" s="99"/>
      <c r="E692" s="99"/>
    </row>
    <row r="693" spans="1:5" x14ac:dyDescent="0.3">
      <c r="A693" s="99"/>
      <c r="B693" s="99"/>
      <c r="C693" s="100"/>
      <c r="D693" s="99"/>
      <c r="E693" s="99"/>
    </row>
    <row r="694" spans="1:5" x14ac:dyDescent="0.3">
      <c r="A694" s="99"/>
      <c r="B694" s="99"/>
      <c r="C694" s="100"/>
      <c r="D694" s="99"/>
      <c r="E694" s="99"/>
    </row>
    <row r="695" spans="1:5" x14ac:dyDescent="0.3">
      <c r="A695" s="99"/>
      <c r="B695" s="99"/>
      <c r="C695" s="100"/>
      <c r="D695" s="99"/>
      <c r="E695" s="99"/>
    </row>
    <row r="696" spans="1:5" x14ac:dyDescent="0.3">
      <c r="A696" s="99"/>
      <c r="B696" s="99"/>
      <c r="C696" s="100"/>
      <c r="D696" s="99"/>
      <c r="E696" s="99"/>
    </row>
    <row r="697" spans="1:5" x14ac:dyDescent="0.3">
      <c r="A697" s="99"/>
      <c r="B697" s="99"/>
      <c r="C697" s="100"/>
      <c r="D697" s="99"/>
      <c r="E697" s="99"/>
    </row>
    <row r="698" spans="1:5" x14ac:dyDescent="0.3">
      <c r="A698" s="99"/>
      <c r="B698" s="99"/>
      <c r="C698" s="100"/>
      <c r="D698" s="99"/>
      <c r="E698" s="99"/>
    </row>
    <row r="699" spans="1:5" x14ac:dyDescent="0.3">
      <c r="A699" s="99"/>
      <c r="B699" s="99"/>
      <c r="C699" s="100"/>
      <c r="D699" s="99"/>
      <c r="E699" s="99"/>
    </row>
    <row r="700" spans="1:5" x14ac:dyDescent="0.3">
      <c r="A700" s="99"/>
      <c r="B700" s="99"/>
      <c r="C700" s="100"/>
      <c r="D700" s="99"/>
      <c r="E700" s="99"/>
    </row>
    <row r="701" spans="1:5" x14ac:dyDescent="0.3">
      <c r="A701" s="99"/>
      <c r="B701" s="99"/>
      <c r="C701" s="100"/>
      <c r="D701" s="99"/>
      <c r="E701" s="99"/>
    </row>
    <row r="702" spans="1:5" x14ac:dyDescent="0.3">
      <c r="A702" s="99"/>
      <c r="B702" s="99"/>
      <c r="C702" s="100"/>
      <c r="D702" s="99"/>
      <c r="E702" s="99"/>
    </row>
    <row r="703" spans="1:5" x14ac:dyDescent="0.3">
      <c r="A703" s="99"/>
      <c r="B703" s="99"/>
      <c r="C703" s="100"/>
      <c r="D703" s="99"/>
      <c r="E703" s="99"/>
    </row>
    <row r="704" spans="1:5" x14ac:dyDescent="0.3">
      <c r="A704" s="99"/>
      <c r="B704" s="99"/>
      <c r="C704" s="100"/>
      <c r="D704" s="99"/>
      <c r="E704" s="99"/>
    </row>
    <row r="705" spans="1:5" x14ac:dyDescent="0.3">
      <c r="A705" s="99"/>
      <c r="B705" s="99"/>
      <c r="C705" s="100"/>
      <c r="D705" s="99"/>
      <c r="E705" s="99"/>
    </row>
    <row r="706" spans="1:5" x14ac:dyDescent="0.3">
      <c r="A706" s="99"/>
      <c r="B706" s="99"/>
      <c r="C706" s="100"/>
      <c r="D706" s="99"/>
      <c r="E706" s="99"/>
    </row>
    <row r="707" spans="1:5" x14ac:dyDescent="0.3">
      <c r="A707" s="99"/>
      <c r="B707" s="99"/>
      <c r="C707" s="100"/>
      <c r="D707" s="99"/>
      <c r="E707" s="99"/>
    </row>
    <row r="708" spans="1:5" x14ac:dyDescent="0.3">
      <c r="A708" s="99"/>
      <c r="B708" s="99"/>
      <c r="C708" s="100"/>
      <c r="D708" s="99"/>
      <c r="E708" s="99"/>
    </row>
    <row r="709" spans="1:5" x14ac:dyDescent="0.3">
      <c r="A709" s="99"/>
      <c r="B709" s="99"/>
      <c r="C709" s="100"/>
      <c r="D709" s="99"/>
      <c r="E709" s="99"/>
    </row>
    <row r="710" spans="1:5" x14ac:dyDescent="0.3">
      <c r="A710" s="99"/>
      <c r="B710" s="99"/>
      <c r="C710" s="100"/>
      <c r="D710" s="99"/>
      <c r="E710" s="99"/>
    </row>
    <row r="711" spans="1:5" x14ac:dyDescent="0.3">
      <c r="A711" s="99"/>
      <c r="B711" s="99"/>
      <c r="C711" s="100"/>
      <c r="D711" s="99"/>
      <c r="E711" s="99"/>
    </row>
    <row r="712" spans="1:5" x14ac:dyDescent="0.3">
      <c r="A712" s="99"/>
      <c r="B712" s="99"/>
      <c r="C712" s="100"/>
      <c r="D712" s="99"/>
      <c r="E712" s="99"/>
    </row>
    <row r="713" spans="1:5" x14ac:dyDescent="0.3">
      <c r="A713" s="99"/>
      <c r="B713" s="99"/>
      <c r="C713" s="100"/>
      <c r="D713" s="99"/>
      <c r="E713" s="99"/>
    </row>
    <row r="714" spans="1:5" x14ac:dyDescent="0.3">
      <c r="A714" s="99"/>
      <c r="B714" s="99"/>
      <c r="C714" s="100"/>
      <c r="D714" s="99"/>
      <c r="E714" s="99"/>
    </row>
    <row r="715" spans="1:5" x14ac:dyDescent="0.3">
      <c r="A715" s="99"/>
      <c r="B715" s="99"/>
      <c r="C715" s="100"/>
      <c r="D715" s="99"/>
      <c r="E715" s="99"/>
    </row>
  </sheetData>
  <autoFilter ref="A2:E2"/>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ClearAllNameList">
                <anchor moveWithCells="1" sizeWithCells="1">
                  <from>
                    <xdr:col>0</xdr:col>
                    <xdr:colOff>91440</xdr:colOff>
                    <xdr:row>0</xdr:row>
                    <xdr:rowOff>53340</xdr:rowOff>
                  </from>
                  <to>
                    <xdr:col>0</xdr:col>
                    <xdr:colOff>922020</xdr:colOff>
                    <xdr:row>0</xdr:row>
                    <xdr:rowOff>388620</xdr:rowOff>
                  </to>
                </anchor>
              </controlPr>
            </control>
          </mc:Choice>
        </mc:AlternateContent>
        <mc:AlternateContent xmlns:mc="http://schemas.openxmlformats.org/markup-compatibility/2006">
          <mc:Choice Requires="x14">
            <control shapeId="22532" r:id="rId5" name="Button 4">
              <controlPr defaultSize="0" print="0" autoFill="0" autoPict="0" macro="[0]!GenerateScoreFromGrade">
                <anchor moveWithCells="1" sizeWithCells="1">
                  <from>
                    <xdr:col>4</xdr:col>
                    <xdr:colOff>106680</xdr:colOff>
                    <xdr:row>0</xdr:row>
                    <xdr:rowOff>106680</xdr:rowOff>
                  </from>
                  <to>
                    <xdr:col>4</xdr:col>
                    <xdr:colOff>937260</xdr:colOff>
                    <xdr:row>0</xdr:row>
                    <xdr:rowOff>784860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R107"/>
  <sheetViews>
    <sheetView showGridLines="0" workbookViewId="0">
      <pane xSplit="2" ySplit="5" topLeftCell="C6" activePane="bottomRight" state="frozen"/>
      <selection pane="topRight" activeCell="C1" sqref="C1"/>
      <selection pane="bottomLeft" activeCell="A6" sqref="A6"/>
      <selection pane="bottomRight" activeCell="C83" sqref="C83"/>
    </sheetView>
  </sheetViews>
  <sheetFormatPr defaultColWidth="6.21875" defaultRowHeight="13.8" x14ac:dyDescent="0.3"/>
  <cols>
    <col min="1" max="1" width="3.44140625" style="108" bestFit="1" customWidth="1"/>
    <col min="2" max="2" width="36.21875" style="108" customWidth="1"/>
    <col min="3" max="4" width="6.21875" style="108" customWidth="1"/>
    <col min="5" max="5" width="6.44140625" style="108" bestFit="1" customWidth="1"/>
    <col min="6" max="6" width="6.21875" style="108"/>
    <col min="7" max="7" width="6.21875" style="108" customWidth="1"/>
    <col min="8" max="8" width="6.21875" style="108"/>
    <col min="9" max="9" width="6.21875" style="108" customWidth="1"/>
    <col min="10" max="16384" width="6.21875" style="108"/>
  </cols>
  <sheetData>
    <row r="1" spans="1:174" ht="6" customHeight="1" x14ac:dyDescent="0.3">
      <c r="B1" s="109"/>
    </row>
    <row r="2" spans="1:174" ht="15" customHeight="1" x14ac:dyDescent="0.3">
      <c r="B2" s="110" t="s">
        <v>300</v>
      </c>
      <c r="C2" s="111">
        <f>C17</f>
        <v>86</v>
      </c>
      <c r="D2" s="111">
        <f t="shared" ref="D2:BO2" si="0">D17</f>
        <v>0</v>
      </c>
      <c r="E2" s="111">
        <f t="shared" si="0"/>
        <v>0</v>
      </c>
      <c r="F2" s="111">
        <f t="shared" si="0"/>
        <v>0</v>
      </c>
      <c r="G2" s="111">
        <f t="shared" si="0"/>
        <v>0</v>
      </c>
      <c r="H2" s="111">
        <f t="shared" si="0"/>
        <v>0</v>
      </c>
      <c r="I2" s="111">
        <f t="shared" si="0"/>
        <v>0</v>
      </c>
      <c r="J2" s="111">
        <f t="shared" si="0"/>
        <v>0</v>
      </c>
      <c r="K2" s="111">
        <f t="shared" si="0"/>
        <v>0</v>
      </c>
      <c r="L2" s="111">
        <f t="shared" si="0"/>
        <v>0</v>
      </c>
      <c r="M2" s="111">
        <f t="shared" si="0"/>
        <v>0</v>
      </c>
      <c r="N2" s="111">
        <f t="shared" si="0"/>
        <v>0</v>
      </c>
      <c r="O2" s="111">
        <f t="shared" si="0"/>
        <v>0</v>
      </c>
      <c r="P2" s="111">
        <f t="shared" si="0"/>
        <v>0</v>
      </c>
      <c r="Q2" s="111">
        <f t="shared" si="0"/>
        <v>0</v>
      </c>
      <c r="R2" s="111">
        <f t="shared" si="0"/>
        <v>0</v>
      </c>
      <c r="S2" s="111">
        <f t="shared" si="0"/>
        <v>0</v>
      </c>
      <c r="T2" s="111">
        <f t="shared" si="0"/>
        <v>0</v>
      </c>
      <c r="U2" s="111">
        <f t="shared" si="0"/>
        <v>0</v>
      </c>
      <c r="V2" s="111">
        <f t="shared" si="0"/>
        <v>0</v>
      </c>
      <c r="W2" s="111">
        <f t="shared" si="0"/>
        <v>0</v>
      </c>
      <c r="X2" s="111">
        <f t="shared" si="0"/>
        <v>0</v>
      </c>
      <c r="Y2" s="111">
        <f t="shared" si="0"/>
        <v>0</v>
      </c>
      <c r="Z2" s="111">
        <f t="shared" si="0"/>
        <v>0</v>
      </c>
      <c r="AA2" s="111">
        <f t="shared" si="0"/>
        <v>0</v>
      </c>
      <c r="AB2" s="111">
        <f t="shared" si="0"/>
        <v>0</v>
      </c>
      <c r="AC2" s="111">
        <f t="shared" si="0"/>
        <v>0</v>
      </c>
      <c r="AD2" s="111">
        <f t="shared" si="0"/>
        <v>0</v>
      </c>
      <c r="AE2" s="111">
        <f t="shared" si="0"/>
        <v>0</v>
      </c>
      <c r="AF2" s="111">
        <f t="shared" si="0"/>
        <v>0</v>
      </c>
      <c r="AG2" s="111">
        <f t="shared" si="0"/>
        <v>0</v>
      </c>
      <c r="AH2" s="111">
        <f t="shared" si="0"/>
        <v>0</v>
      </c>
      <c r="AI2" s="111">
        <f t="shared" si="0"/>
        <v>0</v>
      </c>
      <c r="AJ2" s="111">
        <f t="shared" si="0"/>
        <v>0</v>
      </c>
      <c r="AK2" s="111">
        <f t="shared" si="0"/>
        <v>0</v>
      </c>
      <c r="AL2" s="111">
        <f t="shared" si="0"/>
        <v>0</v>
      </c>
      <c r="AM2" s="111">
        <f t="shared" si="0"/>
        <v>0</v>
      </c>
      <c r="AN2" s="111">
        <f t="shared" si="0"/>
        <v>0</v>
      </c>
      <c r="AO2" s="111">
        <f t="shared" si="0"/>
        <v>0</v>
      </c>
      <c r="AP2" s="111">
        <f t="shared" si="0"/>
        <v>0</v>
      </c>
      <c r="AQ2" s="111">
        <f t="shared" si="0"/>
        <v>0</v>
      </c>
      <c r="AR2" s="111">
        <f t="shared" si="0"/>
        <v>0</v>
      </c>
      <c r="AS2" s="111">
        <f t="shared" si="0"/>
        <v>0</v>
      </c>
      <c r="AT2" s="111">
        <f t="shared" si="0"/>
        <v>0</v>
      </c>
      <c r="AU2" s="111">
        <f t="shared" si="0"/>
        <v>0</v>
      </c>
      <c r="AV2" s="111">
        <f t="shared" si="0"/>
        <v>0</v>
      </c>
      <c r="AW2" s="111">
        <f t="shared" si="0"/>
        <v>0</v>
      </c>
      <c r="AX2" s="111">
        <f t="shared" si="0"/>
        <v>0</v>
      </c>
      <c r="AY2" s="111">
        <f t="shared" si="0"/>
        <v>0</v>
      </c>
      <c r="AZ2" s="111">
        <f t="shared" si="0"/>
        <v>0</v>
      </c>
      <c r="BA2" s="111">
        <f t="shared" si="0"/>
        <v>0</v>
      </c>
      <c r="BB2" s="111">
        <f t="shared" si="0"/>
        <v>0</v>
      </c>
      <c r="BC2" s="111">
        <f t="shared" si="0"/>
        <v>0</v>
      </c>
      <c r="BD2" s="111">
        <f t="shared" si="0"/>
        <v>0</v>
      </c>
      <c r="BE2" s="111">
        <f t="shared" si="0"/>
        <v>0</v>
      </c>
      <c r="BF2" s="111">
        <f t="shared" si="0"/>
        <v>0</v>
      </c>
      <c r="BG2" s="111">
        <f t="shared" si="0"/>
        <v>0</v>
      </c>
      <c r="BH2" s="111">
        <f t="shared" si="0"/>
        <v>0</v>
      </c>
      <c r="BI2" s="111">
        <f t="shared" si="0"/>
        <v>0</v>
      </c>
      <c r="BJ2" s="111">
        <f t="shared" si="0"/>
        <v>0</v>
      </c>
      <c r="BK2" s="111">
        <f t="shared" si="0"/>
        <v>0</v>
      </c>
      <c r="BL2" s="111">
        <f t="shared" si="0"/>
        <v>0</v>
      </c>
      <c r="BM2" s="111">
        <f t="shared" si="0"/>
        <v>0</v>
      </c>
      <c r="BN2" s="111">
        <f t="shared" si="0"/>
        <v>0</v>
      </c>
      <c r="BO2" s="111">
        <f t="shared" si="0"/>
        <v>0</v>
      </c>
      <c r="BP2" s="111">
        <f t="shared" ref="BP2:CN2" si="1">BP17</f>
        <v>0</v>
      </c>
      <c r="BQ2" s="111">
        <f t="shared" si="1"/>
        <v>0</v>
      </c>
      <c r="BR2" s="111">
        <f t="shared" si="1"/>
        <v>0</v>
      </c>
      <c r="BS2" s="111">
        <f t="shared" si="1"/>
        <v>0</v>
      </c>
      <c r="BT2" s="111">
        <f t="shared" si="1"/>
        <v>0</v>
      </c>
      <c r="BU2" s="111">
        <f t="shared" si="1"/>
        <v>0</v>
      </c>
      <c r="BV2" s="111">
        <f t="shared" si="1"/>
        <v>0</v>
      </c>
      <c r="BW2" s="111">
        <f t="shared" si="1"/>
        <v>0</v>
      </c>
      <c r="BX2" s="111">
        <f t="shared" si="1"/>
        <v>0</v>
      </c>
      <c r="BY2" s="111">
        <f t="shared" si="1"/>
        <v>0</v>
      </c>
      <c r="BZ2" s="111">
        <f t="shared" si="1"/>
        <v>0</v>
      </c>
      <c r="CA2" s="111">
        <f t="shared" si="1"/>
        <v>0</v>
      </c>
      <c r="CB2" s="111">
        <f t="shared" si="1"/>
        <v>0</v>
      </c>
      <c r="CC2" s="111">
        <f t="shared" si="1"/>
        <v>0</v>
      </c>
      <c r="CD2" s="111">
        <f t="shared" si="1"/>
        <v>0</v>
      </c>
      <c r="CE2" s="111">
        <f t="shared" si="1"/>
        <v>0</v>
      </c>
      <c r="CF2" s="111">
        <f t="shared" si="1"/>
        <v>0</v>
      </c>
      <c r="CG2" s="111">
        <f t="shared" si="1"/>
        <v>0</v>
      </c>
      <c r="CH2" s="111">
        <f t="shared" si="1"/>
        <v>0</v>
      </c>
      <c r="CI2" s="111">
        <f t="shared" si="1"/>
        <v>0</v>
      </c>
      <c r="CJ2" s="111">
        <f t="shared" si="1"/>
        <v>0</v>
      </c>
      <c r="CK2" s="111">
        <f t="shared" si="1"/>
        <v>0</v>
      </c>
      <c r="CL2" s="111">
        <f t="shared" si="1"/>
        <v>0</v>
      </c>
      <c r="CM2" s="111">
        <f t="shared" si="1"/>
        <v>0</v>
      </c>
      <c r="CN2" s="111">
        <f t="shared" si="1"/>
        <v>0</v>
      </c>
      <c r="CO2" s="111">
        <f t="shared" ref="CO2:EA2" si="2">CO17</f>
        <v>0</v>
      </c>
      <c r="CP2" s="111">
        <f t="shared" si="2"/>
        <v>0</v>
      </c>
      <c r="CQ2" s="111">
        <f t="shared" si="2"/>
        <v>0</v>
      </c>
      <c r="CR2" s="111">
        <f t="shared" si="2"/>
        <v>0</v>
      </c>
      <c r="CS2" s="111">
        <f t="shared" si="2"/>
        <v>0</v>
      </c>
      <c r="CT2" s="111">
        <f t="shared" si="2"/>
        <v>0</v>
      </c>
      <c r="CU2" s="111">
        <f t="shared" si="2"/>
        <v>0</v>
      </c>
      <c r="CV2" s="111">
        <f t="shared" si="2"/>
        <v>0</v>
      </c>
      <c r="CW2" s="111">
        <f t="shared" si="2"/>
        <v>0</v>
      </c>
      <c r="CX2" s="111">
        <f t="shared" si="2"/>
        <v>0</v>
      </c>
      <c r="CY2" s="111">
        <f t="shared" si="2"/>
        <v>0</v>
      </c>
      <c r="CZ2" s="111">
        <f t="shared" si="2"/>
        <v>0</v>
      </c>
      <c r="DA2" s="111">
        <f t="shared" si="2"/>
        <v>0</v>
      </c>
      <c r="DB2" s="111">
        <f t="shared" si="2"/>
        <v>0</v>
      </c>
      <c r="DC2" s="111">
        <f t="shared" si="2"/>
        <v>0</v>
      </c>
      <c r="DD2" s="111">
        <f t="shared" si="2"/>
        <v>0</v>
      </c>
      <c r="DE2" s="111">
        <f t="shared" si="2"/>
        <v>0</v>
      </c>
      <c r="DF2" s="111">
        <f t="shared" si="2"/>
        <v>0</v>
      </c>
      <c r="DG2" s="111">
        <f t="shared" si="2"/>
        <v>0</v>
      </c>
      <c r="DH2" s="111">
        <f t="shared" si="2"/>
        <v>0</v>
      </c>
      <c r="DI2" s="111">
        <f t="shared" si="2"/>
        <v>0</v>
      </c>
      <c r="DJ2" s="111">
        <f t="shared" si="2"/>
        <v>0</v>
      </c>
      <c r="DK2" s="111">
        <f t="shared" si="2"/>
        <v>0</v>
      </c>
      <c r="DL2" s="111">
        <f t="shared" si="2"/>
        <v>0</v>
      </c>
      <c r="DM2" s="111">
        <f t="shared" si="2"/>
        <v>0</v>
      </c>
      <c r="DN2" s="111">
        <f t="shared" si="2"/>
        <v>0</v>
      </c>
      <c r="DO2" s="111">
        <f t="shared" si="2"/>
        <v>0</v>
      </c>
      <c r="DP2" s="111">
        <f t="shared" si="2"/>
        <v>0</v>
      </c>
      <c r="DQ2" s="111">
        <f t="shared" si="2"/>
        <v>0</v>
      </c>
      <c r="DR2" s="111">
        <f t="shared" si="2"/>
        <v>0</v>
      </c>
      <c r="DS2" s="111">
        <f t="shared" si="2"/>
        <v>0</v>
      </c>
      <c r="DT2" s="111">
        <f t="shared" si="2"/>
        <v>0</v>
      </c>
      <c r="DU2" s="111">
        <f t="shared" si="2"/>
        <v>0</v>
      </c>
      <c r="DV2" s="111">
        <f t="shared" si="2"/>
        <v>0</v>
      </c>
      <c r="DW2" s="111">
        <f t="shared" si="2"/>
        <v>0</v>
      </c>
      <c r="DX2" s="111">
        <f t="shared" si="2"/>
        <v>0</v>
      </c>
      <c r="DY2" s="111">
        <f t="shared" si="2"/>
        <v>0</v>
      </c>
      <c r="DZ2" s="111">
        <f t="shared" si="2"/>
        <v>0</v>
      </c>
      <c r="EA2" s="111">
        <f t="shared" si="2"/>
        <v>0</v>
      </c>
      <c r="EB2" s="111">
        <f t="shared" ref="EB2:FR2" si="3">EB17</f>
        <v>0</v>
      </c>
      <c r="EC2" s="111">
        <f t="shared" si="3"/>
        <v>0</v>
      </c>
      <c r="ED2" s="111">
        <f t="shared" si="3"/>
        <v>0</v>
      </c>
      <c r="EE2" s="111">
        <f t="shared" si="3"/>
        <v>0</v>
      </c>
      <c r="EF2" s="111">
        <f t="shared" si="3"/>
        <v>0</v>
      </c>
      <c r="EG2" s="111">
        <f t="shared" si="3"/>
        <v>0</v>
      </c>
      <c r="EH2" s="111">
        <f t="shared" si="3"/>
        <v>0</v>
      </c>
      <c r="EI2" s="111">
        <f t="shared" si="3"/>
        <v>0</v>
      </c>
      <c r="EJ2" s="111">
        <f t="shared" si="3"/>
        <v>0</v>
      </c>
      <c r="EK2" s="111">
        <f t="shared" si="3"/>
        <v>0</v>
      </c>
      <c r="EL2" s="111">
        <f t="shared" si="3"/>
        <v>0</v>
      </c>
      <c r="EM2" s="111">
        <f t="shared" si="3"/>
        <v>0</v>
      </c>
      <c r="EN2" s="111">
        <f t="shared" si="3"/>
        <v>0</v>
      </c>
      <c r="EO2" s="111">
        <f t="shared" si="3"/>
        <v>0</v>
      </c>
      <c r="EP2" s="111">
        <f t="shared" si="3"/>
        <v>0</v>
      </c>
      <c r="EQ2" s="111">
        <f t="shared" si="3"/>
        <v>0</v>
      </c>
      <c r="ER2" s="111">
        <f t="shared" si="3"/>
        <v>0</v>
      </c>
      <c r="ES2" s="111">
        <f t="shared" si="3"/>
        <v>0</v>
      </c>
      <c r="ET2" s="111">
        <f t="shared" si="3"/>
        <v>0</v>
      </c>
      <c r="EU2" s="111">
        <f t="shared" si="3"/>
        <v>0</v>
      </c>
      <c r="EV2" s="111">
        <f t="shared" si="3"/>
        <v>0</v>
      </c>
      <c r="EW2" s="111">
        <f t="shared" si="3"/>
        <v>0</v>
      </c>
      <c r="EX2" s="111">
        <f t="shared" si="3"/>
        <v>0</v>
      </c>
      <c r="EY2" s="111">
        <f t="shared" si="3"/>
        <v>0</v>
      </c>
      <c r="EZ2" s="111">
        <f t="shared" si="3"/>
        <v>0</v>
      </c>
      <c r="FA2" s="111">
        <f t="shared" si="3"/>
        <v>0</v>
      </c>
      <c r="FB2" s="111">
        <f t="shared" si="3"/>
        <v>0</v>
      </c>
      <c r="FC2" s="111">
        <f t="shared" si="3"/>
        <v>0</v>
      </c>
      <c r="FD2" s="111">
        <f t="shared" si="3"/>
        <v>0</v>
      </c>
      <c r="FE2" s="111">
        <f t="shared" si="3"/>
        <v>0</v>
      </c>
      <c r="FF2" s="111">
        <f t="shared" si="3"/>
        <v>0</v>
      </c>
      <c r="FG2" s="111">
        <f t="shared" si="3"/>
        <v>0</v>
      </c>
      <c r="FH2" s="111">
        <f t="shared" si="3"/>
        <v>0</v>
      </c>
      <c r="FI2" s="111">
        <f t="shared" si="3"/>
        <v>0</v>
      </c>
      <c r="FJ2" s="111">
        <f t="shared" si="3"/>
        <v>0</v>
      </c>
      <c r="FK2" s="111">
        <f t="shared" si="3"/>
        <v>0</v>
      </c>
      <c r="FL2" s="111">
        <f t="shared" si="3"/>
        <v>0</v>
      </c>
      <c r="FM2" s="111">
        <f t="shared" si="3"/>
        <v>0</v>
      </c>
      <c r="FN2" s="111">
        <f t="shared" si="3"/>
        <v>0</v>
      </c>
      <c r="FO2" s="111">
        <f t="shared" si="3"/>
        <v>0</v>
      </c>
      <c r="FP2" s="111">
        <f t="shared" si="3"/>
        <v>0</v>
      </c>
      <c r="FQ2" s="111">
        <f t="shared" si="3"/>
        <v>0</v>
      </c>
      <c r="FR2" s="111">
        <f t="shared" si="3"/>
        <v>0</v>
      </c>
    </row>
    <row r="3" spans="1:174" s="112" customFormat="1" ht="15" customHeight="1" x14ac:dyDescent="0.3">
      <c r="B3" s="113" t="s">
        <v>301</v>
      </c>
      <c r="C3" s="114" t="str">
        <f>IFERROR(VLOOKUP(C5,'Name List'!$B$3:$E$1000,12,FALSE),"name?")</f>
        <v>name?</v>
      </c>
      <c r="D3" s="114" t="str">
        <f>IFERROR(VLOOKUP(D5,'Name List'!$B$3:$E$1000,12,FALSE),"name?")</f>
        <v>name?</v>
      </c>
      <c r="E3" s="114" t="str">
        <f>IFERROR(VLOOKUP(E5,'Name List'!$B$3:$E$1000,12,FALSE),"name?")</f>
        <v>name?</v>
      </c>
      <c r="F3" s="114" t="str">
        <f>IFERROR(VLOOKUP(F5,'Name List'!$B$3:$E$1000,12,FALSE),"name?")</f>
        <v>name?</v>
      </c>
      <c r="G3" s="114" t="str">
        <f>IFERROR(VLOOKUP(G5,'Name List'!$B$3:$E$1000,12,FALSE),"name?")</f>
        <v>name?</v>
      </c>
      <c r="H3" s="114" t="str">
        <f>IFERROR(VLOOKUP(H5,'Name List'!$B$3:$E$1000,12,FALSE),"name?")</f>
        <v>name?</v>
      </c>
      <c r="I3" s="114" t="str">
        <f>IFERROR(VLOOKUP(I5,'Name List'!$B$3:$E$1000,12,FALSE),"name?")</f>
        <v>name?</v>
      </c>
      <c r="J3" s="114" t="str">
        <f>IFERROR(VLOOKUP(J5,'Name List'!$B$3:$E$1000,12,FALSE),"name?")</f>
        <v>name?</v>
      </c>
      <c r="K3" s="114" t="str">
        <f>IFERROR(VLOOKUP(K5,'Name List'!$B$3:$E$1000,12,FALSE),"name?")</f>
        <v>name?</v>
      </c>
      <c r="L3" s="114" t="str">
        <f>IFERROR(VLOOKUP(L5,'Name List'!$B$3:$E$1000,12,FALSE),"name?")</f>
        <v>name?</v>
      </c>
      <c r="M3" s="114" t="str">
        <f>IFERROR(VLOOKUP(M5,'Name List'!$B$3:$E$1000,12,FALSE),"name?")</f>
        <v>name?</v>
      </c>
      <c r="N3" s="114" t="str">
        <f>IFERROR(VLOOKUP(N5,'Name List'!$B$3:$E$1000,12,FALSE),"name?")</f>
        <v>name?</v>
      </c>
      <c r="O3" s="114" t="str">
        <f>IFERROR(VLOOKUP(O5,'Name List'!$B$3:$E$1000,12,FALSE),"name?")</f>
        <v>name?</v>
      </c>
      <c r="P3" s="114" t="str">
        <f>IFERROR(VLOOKUP(P5,'Name List'!$B$3:$E$1000,12,FALSE),"name?")</f>
        <v>name?</v>
      </c>
      <c r="Q3" s="114" t="str">
        <f>IFERROR(VLOOKUP(Q5,'Name List'!$B$3:$E$1000,12,FALSE),"name?")</f>
        <v>name?</v>
      </c>
      <c r="R3" s="114" t="str">
        <f>IFERROR(VLOOKUP(R5,'Name List'!$B$3:$E$1000,12,FALSE),"name?")</f>
        <v>name?</v>
      </c>
      <c r="S3" s="114" t="str">
        <f>IFERROR(VLOOKUP(S5,'Name List'!$B$3:$E$1000,12,FALSE),"name?")</f>
        <v>name?</v>
      </c>
      <c r="T3" s="114" t="str">
        <f>IFERROR(VLOOKUP(T5,'Name List'!$B$3:$E$1000,12,FALSE),"name?")</f>
        <v>name?</v>
      </c>
      <c r="U3" s="114" t="str">
        <f>IFERROR(VLOOKUP(U5,'Name List'!$B$3:$E$1000,12,FALSE),"name?")</f>
        <v>name?</v>
      </c>
      <c r="V3" s="114" t="str">
        <f>IFERROR(VLOOKUP(V5,'Name List'!$B$3:$E$1000,12,FALSE),"name?")</f>
        <v>name?</v>
      </c>
      <c r="W3" s="114" t="str">
        <f>IFERROR(VLOOKUP(W5,'Name List'!$B$3:$E$1000,12,FALSE),"name?")</f>
        <v>name?</v>
      </c>
      <c r="X3" s="114" t="str">
        <f>IFERROR(VLOOKUP(X5,'Name List'!$B$3:$E$1000,12,FALSE),"name?")</f>
        <v>name?</v>
      </c>
      <c r="Y3" s="114" t="str">
        <f>IFERROR(VLOOKUP(Y5,'Name List'!$B$3:$E$1000,12,FALSE),"name?")</f>
        <v>name?</v>
      </c>
      <c r="Z3" s="114" t="str">
        <f>IFERROR(VLOOKUP(Z5,'Name List'!$B$3:$E$1000,12,FALSE),"name?")</f>
        <v>name?</v>
      </c>
      <c r="AA3" s="114" t="str">
        <f>IFERROR(VLOOKUP(AA5,'Name List'!$B$3:$E$1000,12,FALSE),"name?")</f>
        <v>name?</v>
      </c>
      <c r="AB3" s="114" t="str">
        <f>IFERROR(VLOOKUP(AB5,'Name List'!$B$3:$E$1000,12,FALSE),"name?")</f>
        <v>name?</v>
      </c>
      <c r="AC3" s="114" t="str">
        <f>IFERROR(VLOOKUP(AC5,'Name List'!$B$3:$E$1000,12,FALSE),"name?")</f>
        <v>name?</v>
      </c>
      <c r="AD3" s="114" t="str">
        <f>IFERROR(VLOOKUP(AD5,'Name List'!$B$3:$E$1000,12,FALSE),"name?")</f>
        <v>name?</v>
      </c>
      <c r="AE3" s="114" t="str">
        <f>IFERROR(VLOOKUP(AE5,'Name List'!$B$3:$E$1000,12,FALSE),"name?")</f>
        <v>name?</v>
      </c>
      <c r="AF3" s="114" t="str">
        <f>IFERROR(VLOOKUP(AF5,'Name List'!$B$3:$E$1000,12,FALSE),"name?")</f>
        <v>name?</v>
      </c>
      <c r="AG3" s="114" t="str">
        <f>IFERROR(VLOOKUP(AG5,'Name List'!$B$3:$E$1000,12,FALSE),"name?")</f>
        <v>name?</v>
      </c>
      <c r="AH3" s="114" t="str">
        <f>IFERROR(VLOOKUP(AH5,'Name List'!$B$3:$E$1000,12,FALSE),"name?")</f>
        <v>name?</v>
      </c>
      <c r="AI3" s="114" t="str">
        <f>IFERROR(VLOOKUP(AI5,'Name List'!$B$3:$E$1000,12,FALSE),"name?")</f>
        <v>name?</v>
      </c>
      <c r="AJ3" s="114" t="str">
        <f>IFERROR(VLOOKUP(AJ5,'Name List'!$B$3:$E$1000,12,FALSE),"name?")</f>
        <v>name?</v>
      </c>
      <c r="AK3" s="114" t="str">
        <f>IFERROR(VLOOKUP(AK5,'Name List'!$B$3:$E$1000,12,FALSE),"name?")</f>
        <v>name?</v>
      </c>
      <c r="AL3" s="114" t="str">
        <f>IFERROR(VLOOKUP(AL5,'Name List'!$B$3:$E$1000,12,FALSE),"name?")</f>
        <v>name?</v>
      </c>
      <c r="AM3" s="114" t="str">
        <f>IFERROR(VLOOKUP(AM5,'Name List'!$B$3:$E$1000,12,FALSE),"name?")</f>
        <v>name?</v>
      </c>
      <c r="AN3" s="114" t="str">
        <f>IFERROR(VLOOKUP(AN5,'Name List'!$B$3:$E$1000,12,FALSE),"name?")</f>
        <v>name?</v>
      </c>
      <c r="AO3" s="114" t="str">
        <f>IFERROR(VLOOKUP(AO5,'Name List'!$B$3:$E$1000,12,FALSE),"name?")</f>
        <v>name?</v>
      </c>
      <c r="AP3" s="114" t="str">
        <f>IFERROR(VLOOKUP(AP5,'Name List'!$B$3:$E$1000,12,FALSE),"name?")</f>
        <v>name?</v>
      </c>
      <c r="AQ3" s="114" t="str">
        <f>IFERROR(VLOOKUP(AQ5,'Name List'!$B$3:$E$1000,12,FALSE),"name?")</f>
        <v>name?</v>
      </c>
      <c r="AR3" s="114" t="str">
        <f>IFERROR(VLOOKUP(AR5,'Name List'!$B$3:$E$1000,12,FALSE),"name?")</f>
        <v>name?</v>
      </c>
      <c r="AS3" s="114" t="str">
        <f>IFERROR(VLOOKUP(AS5,'Name List'!$B$3:$E$1000,12,FALSE),"name?")</f>
        <v>name?</v>
      </c>
      <c r="AT3" s="114" t="str">
        <f>IFERROR(VLOOKUP(AT5,'Name List'!$B$3:$E$1000,12,FALSE),"name?")</f>
        <v>name?</v>
      </c>
      <c r="AU3" s="114" t="str">
        <f>IFERROR(VLOOKUP(AU5,'Name List'!$B$3:$E$1000,12,FALSE),"name?")</f>
        <v>name?</v>
      </c>
      <c r="AV3" s="114" t="str">
        <f>IFERROR(VLOOKUP(AV5,'Name List'!$B$3:$E$1000,12,FALSE),"name?")</f>
        <v>name?</v>
      </c>
      <c r="AW3" s="114" t="str">
        <f>IFERROR(VLOOKUP(AW5,'Name List'!$B$3:$E$1000,12,FALSE),"name?")</f>
        <v>name?</v>
      </c>
      <c r="AX3" s="114" t="str">
        <f>IFERROR(VLOOKUP(AX5,'Name List'!$B$3:$E$1000,12,FALSE),"name?")</f>
        <v>name?</v>
      </c>
      <c r="AY3" s="114" t="str">
        <f>IFERROR(VLOOKUP(AY5,'Name List'!$B$3:$E$1000,12,FALSE),"name?")</f>
        <v>name?</v>
      </c>
      <c r="AZ3" s="114" t="str">
        <f>IFERROR(VLOOKUP(AZ5,'Name List'!$B$3:$E$1000,12,FALSE),"name?")</f>
        <v>name?</v>
      </c>
      <c r="BA3" s="114" t="str">
        <f>IFERROR(VLOOKUP(BA5,'Name List'!$B$3:$E$1000,12,FALSE),"name?")</f>
        <v>name?</v>
      </c>
      <c r="BB3" s="114" t="str">
        <f>IFERROR(VLOOKUP(BB5,'Name List'!$B$3:$E$1000,12,FALSE),"name?")</f>
        <v>name?</v>
      </c>
      <c r="BC3" s="114" t="str">
        <f>IFERROR(VLOOKUP(BC5,'Name List'!$B$3:$E$1000,12,FALSE),"name?")</f>
        <v>name?</v>
      </c>
      <c r="BD3" s="114" t="str">
        <f>IFERROR(VLOOKUP(BD5,'Name List'!$B$3:$E$1000,12,FALSE),"name?")</f>
        <v>name?</v>
      </c>
      <c r="BE3" s="114" t="str">
        <f>IFERROR(VLOOKUP(BE5,'Name List'!$B$3:$E$1000,12,FALSE),"name?")</f>
        <v>name?</v>
      </c>
      <c r="BF3" s="114" t="str">
        <f>IFERROR(VLOOKUP(BF5,'Name List'!$B$3:$E$1000,12,FALSE),"name?")</f>
        <v>name?</v>
      </c>
      <c r="BG3" s="114" t="str">
        <f>IFERROR(VLOOKUP(BG5,'Name List'!$B$3:$E$1000,12,FALSE),"name?")</f>
        <v>name?</v>
      </c>
      <c r="BH3" s="114" t="str">
        <f>IFERROR(VLOOKUP(BH5,'Name List'!$B$3:$E$1000,12,FALSE),"name?")</f>
        <v>name?</v>
      </c>
      <c r="BI3" s="114" t="str">
        <f>IFERROR(VLOOKUP(BI5,'Name List'!$B$3:$E$1000,12,FALSE),"name?")</f>
        <v>name?</v>
      </c>
      <c r="BJ3" s="114" t="str">
        <f>IFERROR(VLOOKUP(BJ5,'Name List'!$B$3:$E$1000,12,FALSE),"name?")</f>
        <v>name?</v>
      </c>
      <c r="BK3" s="114" t="str">
        <f>IFERROR(VLOOKUP(BK5,'Name List'!$B$3:$E$1000,12,FALSE),"name?")</f>
        <v>name?</v>
      </c>
      <c r="BL3" s="114" t="str">
        <f>IFERROR(VLOOKUP(BL5,'Name List'!$B$3:$E$1000,12,FALSE),"name?")</f>
        <v>name?</v>
      </c>
      <c r="BM3" s="114" t="str">
        <f>IFERROR(VLOOKUP(BM5,'Name List'!$B$3:$E$1000,12,FALSE),"name?")</f>
        <v>name?</v>
      </c>
      <c r="BN3" s="114" t="str">
        <f>IFERROR(VLOOKUP(BN5,'Name List'!$B$3:$E$1000,12,FALSE),"name?")</f>
        <v>name?</v>
      </c>
      <c r="BO3" s="114" t="str">
        <f>IFERROR(VLOOKUP(BO5,'Name List'!$B$3:$E$1000,12,FALSE),"name?")</f>
        <v>name?</v>
      </c>
      <c r="BP3" s="114" t="str">
        <f>IFERROR(VLOOKUP(BP5,'Name List'!$B$3:$E$1000,12,FALSE),"name?")</f>
        <v>name?</v>
      </c>
      <c r="BQ3" s="114" t="str">
        <f>IFERROR(VLOOKUP(BQ5,'Name List'!$B$3:$E$1000,12,FALSE),"name?")</f>
        <v>name?</v>
      </c>
      <c r="BR3" s="114" t="str">
        <f>IFERROR(VLOOKUP(BR5,'Name List'!$B$3:$E$1000,12,FALSE),"name?")</f>
        <v>name?</v>
      </c>
      <c r="BS3" s="114" t="str">
        <f>IFERROR(VLOOKUP(BS5,'Name List'!$B$3:$E$1000,12,FALSE),"name?")</f>
        <v>name?</v>
      </c>
      <c r="BT3" s="114" t="str">
        <f>IFERROR(VLOOKUP(BT5,'Name List'!$B$3:$E$1000,12,FALSE),"name?")</f>
        <v>name?</v>
      </c>
      <c r="BU3" s="114" t="str">
        <f>IFERROR(VLOOKUP(BU5,'Name List'!$B$3:$E$1000,12,FALSE),"name?")</f>
        <v>name?</v>
      </c>
      <c r="BV3" s="114" t="str">
        <f>IFERROR(VLOOKUP(BV5,'Name List'!$B$3:$E$1000,12,FALSE),"name?")</f>
        <v>name?</v>
      </c>
      <c r="BW3" s="114" t="str">
        <f>IFERROR(VLOOKUP(BW5,'Name List'!$B$3:$E$1000,12,FALSE),"name?")</f>
        <v>name?</v>
      </c>
      <c r="BX3" s="114" t="str">
        <f>IFERROR(VLOOKUP(BX5,'Name List'!$B$3:$E$1000,12,FALSE),"name?")</f>
        <v>name?</v>
      </c>
      <c r="BY3" s="114" t="str">
        <f>IFERROR(VLOOKUP(BY5,'Name List'!$B$3:$E$1000,12,FALSE),"name?")</f>
        <v>name?</v>
      </c>
      <c r="BZ3" s="114" t="str">
        <f>IFERROR(VLOOKUP(BZ5,'Name List'!$B$3:$E$1000,12,FALSE),"name?")</f>
        <v>name?</v>
      </c>
      <c r="CA3" s="114" t="str">
        <f>IFERROR(VLOOKUP(CA5,'Name List'!$B$3:$E$1000,12,FALSE),"name?")</f>
        <v>name?</v>
      </c>
      <c r="CB3" s="114" t="str">
        <f>IFERROR(VLOOKUP(CB5,'Name List'!$B$3:$E$1000,12,FALSE),"name?")</f>
        <v>name?</v>
      </c>
      <c r="CC3" s="114" t="str">
        <f>IFERROR(VLOOKUP(CC5,'Name List'!$B$3:$E$1000,12,FALSE),"name?")</f>
        <v>name?</v>
      </c>
      <c r="CD3" s="114" t="str">
        <f>IFERROR(VLOOKUP(CD5,'Name List'!$B$3:$E$1000,12,FALSE),"name?")</f>
        <v>name?</v>
      </c>
      <c r="CE3" s="114" t="str">
        <f>IFERROR(VLOOKUP(CE5,'Name List'!$B$3:$E$1000,12,FALSE),"name?")</f>
        <v>name?</v>
      </c>
      <c r="CF3" s="114" t="str">
        <f>IFERROR(VLOOKUP(CF5,'Name List'!$B$3:$E$1000,12,FALSE),"name?")</f>
        <v>name?</v>
      </c>
      <c r="CG3" s="114" t="str">
        <f>IFERROR(VLOOKUP(CG5,'Name List'!$B$3:$E$1000,12,FALSE),"name?")</f>
        <v>name?</v>
      </c>
      <c r="CH3" s="114" t="str">
        <f>IFERROR(VLOOKUP(CH5,'Name List'!$B$3:$E$1000,12,FALSE),"name?")</f>
        <v>name?</v>
      </c>
      <c r="CI3" s="114" t="str">
        <f>IFERROR(VLOOKUP(CI5,'Name List'!$B$3:$E$1000,12,FALSE),"name?")</f>
        <v>name?</v>
      </c>
      <c r="CJ3" s="114" t="str">
        <f>IFERROR(VLOOKUP(CJ5,'Name List'!$B$3:$E$1000,12,FALSE),"name?")</f>
        <v>name?</v>
      </c>
      <c r="CK3" s="114" t="str">
        <f>IFERROR(VLOOKUP(CK5,'Name List'!$B$3:$E$1000,12,FALSE),"name?")</f>
        <v>name?</v>
      </c>
      <c r="CL3" s="114" t="str">
        <f>IFERROR(VLOOKUP(CL5,'Name List'!$B$3:$E$1000,12,FALSE),"name?")</f>
        <v>name?</v>
      </c>
      <c r="CM3" s="114" t="str">
        <f>IFERROR(VLOOKUP(CM5,'Name List'!$B$3:$E$1000,12,FALSE),"name?")</f>
        <v>name?</v>
      </c>
      <c r="CN3" s="114" t="str">
        <f>IFERROR(VLOOKUP(CN5,'Name List'!$B$3:$E$1000,12,FALSE),"name?")</f>
        <v>name?</v>
      </c>
      <c r="CO3" s="114" t="str">
        <f>IFERROR(VLOOKUP(CO5,'Name List'!$B$3:$E$1000,12,FALSE),"name?")</f>
        <v>name?</v>
      </c>
      <c r="CP3" s="114" t="str">
        <f>IFERROR(VLOOKUP(CP5,'Name List'!$B$3:$E$1000,12,FALSE),"name?")</f>
        <v>name?</v>
      </c>
      <c r="CQ3" s="114" t="str">
        <f>IFERROR(VLOOKUP(CQ5,'Name List'!$B$3:$E$1000,12,FALSE),"name?")</f>
        <v>name?</v>
      </c>
      <c r="CR3" s="114" t="str">
        <f>IFERROR(VLOOKUP(CR5,'Name List'!$B$3:$E$1000,12,FALSE),"name?")</f>
        <v>name?</v>
      </c>
      <c r="CS3" s="114" t="str">
        <f>IFERROR(VLOOKUP(CS5,'Name List'!$B$3:$E$1000,12,FALSE),"name?")</f>
        <v>name?</v>
      </c>
      <c r="CT3" s="114" t="str">
        <f>IFERROR(VLOOKUP(CT5,'Name List'!$B$3:$E$1000,12,FALSE),"name?")</f>
        <v>name?</v>
      </c>
      <c r="CU3" s="114" t="str">
        <f>IFERROR(VLOOKUP(CU5,'Name List'!$B$3:$E$1000,12,FALSE),"name?")</f>
        <v>name?</v>
      </c>
      <c r="CV3" s="114" t="str">
        <f>IFERROR(VLOOKUP(CV5,'Name List'!$B$3:$E$1000,12,FALSE),"name?")</f>
        <v>name?</v>
      </c>
      <c r="CW3" s="114" t="str">
        <f>IFERROR(VLOOKUP(CW5,'Name List'!$B$3:$E$1000,12,FALSE),"name?")</f>
        <v>name?</v>
      </c>
      <c r="CX3" s="114" t="str">
        <f>IFERROR(VLOOKUP(CX5,'Name List'!$B$3:$E$1000,12,FALSE),"name?")</f>
        <v>name?</v>
      </c>
      <c r="CY3" s="114" t="str">
        <f>IFERROR(VLOOKUP(CY5,'Name List'!$B$3:$E$1000,12,FALSE),"name?")</f>
        <v>name?</v>
      </c>
      <c r="CZ3" s="114" t="str">
        <f>IFERROR(VLOOKUP(CZ5,'Name List'!$B$3:$E$1000,12,FALSE),"name?")</f>
        <v>name?</v>
      </c>
      <c r="DA3" s="114" t="str">
        <f>IFERROR(VLOOKUP(DA5,'Name List'!$B$3:$E$1000,12,FALSE),"name?")</f>
        <v>name?</v>
      </c>
      <c r="DB3" s="114" t="str">
        <f>IFERROR(VLOOKUP(DB5,'Name List'!$B$3:$E$1000,12,FALSE),"name?")</f>
        <v>name?</v>
      </c>
      <c r="DC3" s="114" t="str">
        <f>IFERROR(VLOOKUP(DC5,'Name List'!$B$3:$E$1000,12,FALSE),"name?")</f>
        <v>name?</v>
      </c>
      <c r="DD3" s="114" t="str">
        <f>IFERROR(VLOOKUP(DD5,'Name List'!$B$3:$E$1000,12,FALSE),"name?")</f>
        <v>name?</v>
      </c>
      <c r="DE3" s="114" t="str">
        <f>IFERROR(VLOOKUP(DE5,'Name List'!$B$3:$E$1000,12,FALSE),"name?")</f>
        <v>name?</v>
      </c>
      <c r="DF3" s="114" t="str">
        <f>IFERROR(VLOOKUP(DF5,'Name List'!$B$3:$E$1000,12,FALSE),"name?")</f>
        <v>name?</v>
      </c>
      <c r="DG3" s="114" t="str">
        <f>IFERROR(VLOOKUP(DG5,'Name List'!$B$3:$E$1000,12,FALSE),"name?")</f>
        <v>name?</v>
      </c>
      <c r="DH3" s="114" t="str">
        <f>IFERROR(VLOOKUP(DH5,'Name List'!$B$3:$E$1000,12,FALSE),"name?")</f>
        <v>name?</v>
      </c>
      <c r="DI3" s="114" t="str">
        <f>IFERROR(VLOOKUP(DI5,'Name List'!$B$3:$E$1000,12,FALSE),"name?")</f>
        <v>name?</v>
      </c>
      <c r="DJ3" s="114" t="str">
        <f>IFERROR(VLOOKUP(DJ5,'Name List'!$B$3:$E$1000,12,FALSE),"name?")</f>
        <v>name?</v>
      </c>
      <c r="DK3" s="114" t="str">
        <f>IFERROR(VLOOKUP(DK5,'Name List'!$B$3:$E$1000,12,FALSE),"name?")</f>
        <v>name?</v>
      </c>
      <c r="DL3" s="114" t="str">
        <f>IFERROR(VLOOKUP(DL5,'Name List'!$B$3:$E$1000,12,FALSE),"name?")</f>
        <v>name?</v>
      </c>
      <c r="DM3" s="114" t="str">
        <f>IFERROR(VLOOKUP(DM5,'Name List'!$B$3:$E$1000,12,FALSE),"name?")</f>
        <v>name?</v>
      </c>
      <c r="DN3" s="114" t="str">
        <f>IFERROR(VLOOKUP(DN5,'Name List'!$B$3:$E$1000,12,FALSE),"name?")</f>
        <v>name?</v>
      </c>
      <c r="DO3" s="114" t="str">
        <f>IFERROR(VLOOKUP(DO5,'Name List'!$B$3:$E$1000,12,FALSE),"name?")</f>
        <v>name?</v>
      </c>
      <c r="DP3" s="114" t="str">
        <f>IFERROR(VLOOKUP(DP5,'Name List'!$B$3:$E$1000,12,FALSE),"name?")</f>
        <v>name?</v>
      </c>
      <c r="DQ3" s="114" t="str">
        <f>IFERROR(VLOOKUP(DQ5,'Name List'!$B$3:$E$1000,12,FALSE),"name?")</f>
        <v>name?</v>
      </c>
      <c r="DR3" s="114" t="str">
        <f>IFERROR(VLOOKUP(DR5,'Name List'!$B$3:$E$1000,12,FALSE),"name?")</f>
        <v>name?</v>
      </c>
      <c r="DS3" s="114" t="str">
        <f>IFERROR(VLOOKUP(DS5,'Name List'!$B$3:$E$1000,12,FALSE),"name?")</f>
        <v>name?</v>
      </c>
      <c r="DT3" s="114" t="str">
        <f>IFERROR(VLOOKUP(DT5,'Name List'!$B$3:$E$1000,12,FALSE),"name?")</f>
        <v>name?</v>
      </c>
      <c r="DU3" s="114" t="str">
        <f>IFERROR(VLOOKUP(DU5,'Name List'!$B$3:$E$1000,12,FALSE),"name?")</f>
        <v>name?</v>
      </c>
      <c r="DV3" s="114" t="str">
        <f>IFERROR(VLOOKUP(DV5,'Name List'!$B$3:$E$1000,12,FALSE),"name?")</f>
        <v>name?</v>
      </c>
      <c r="DW3" s="114" t="str">
        <f>IFERROR(VLOOKUP(DW5,'Name List'!$B$3:$E$1000,12,FALSE),"name?")</f>
        <v>name?</v>
      </c>
      <c r="DX3" s="114" t="str">
        <f>IFERROR(VLOOKUP(DX5,'Name List'!$B$3:$E$1000,12,FALSE),"name?")</f>
        <v>name?</v>
      </c>
      <c r="DY3" s="114" t="str">
        <f>IFERROR(VLOOKUP(DY5,'Name List'!$B$3:$E$1000,12,FALSE),"name?")</f>
        <v>name?</v>
      </c>
      <c r="DZ3" s="114" t="str">
        <f>IFERROR(VLOOKUP(DZ5,'Name List'!$B$3:$E$1000,12,FALSE),"name?")</f>
        <v>name?</v>
      </c>
      <c r="EA3" s="114" t="str">
        <f>IFERROR(VLOOKUP(EA5,'Name List'!$B$3:$E$1000,12,FALSE),"name?")</f>
        <v>name?</v>
      </c>
      <c r="EB3" s="114" t="str">
        <f>IFERROR(VLOOKUP(EB5,'Name List'!$B$3:$E$1000,12,FALSE),"name?")</f>
        <v>name?</v>
      </c>
      <c r="EC3" s="114" t="str">
        <f>IFERROR(VLOOKUP(EC5,'Name List'!$B$3:$E$1000,12,FALSE),"name?")</f>
        <v>name?</v>
      </c>
      <c r="ED3" s="114" t="str">
        <f>IFERROR(VLOOKUP(ED5,'Name List'!$B$3:$E$1000,12,FALSE),"name?")</f>
        <v>name?</v>
      </c>
      <c r="EE3" s="114" t="str">
        <f>IFERROR(VLOOKUP(EE5,'Name List'!$B$3:$E$1000,12,FALSE),"name?")</f>
        <v>name?</v>
      </c>
      <c r="EF3" s="114" t="str">
        <f>IFERROR(VLOOKUP(EF5,'Name List'!$B$3:$E$1000,12,FALSE),"name?")</f>
        <v>name?</v>
      </c>
      <c r="EG3" s="114" t="str">
        <f>IFERROR(VLOOKUP(EG5,'Name List'!$B$3:$E$1000,12,FALSE),"name?")</f>
        <v>name?</v>
      </c>
      <c r="EH3" s="114" t="str">
        <f>IFERROR(VLOOKUP(EH5,'Name List'!$B$3:$E$1000,12,FALSE),"name?")</f>
        <v>name?</v>
      </c>
      <c r="EI3" s="114" t="str">
        <f>IFERROR(VLOOKUP(EI5,'Name List'!$B$3:$E$1000,12,FALSE),"name?")</f>
        <v>name?</v>
      </c>
      <c r="EJ3" s="114" t="str">
        <f>IFERROR(VLOOKUP(EJ5,'Name List'!$B$3:$E$1000,12,FALSE),"name?")</f>
        <v>name?</v>
      </c>
      <c r="EK3" s="114" t="str">
        <f>IFERROR(VLOOKUP(EK5,'Name List'!$B$3:$E$1000,12,FALSE),"name?")</f>
        <v>name?</v>
      </c>
      <c r="EL3" s="114" t="str">
        <f>IFERROR(VLOOKUP(EL5,'Name List'!$B$3:$E$1000,12,FALSE),"name?")</f>
        <v>name?</v>
      </c>
      <c r="EM3" s="114" t="str">
        <f>IFERROR(VLOOKUP(EM5,'Name List'!$B$3:$E$1000,12,FALSE),"name?")</f>
        <v>name?</v>
      </c>
      <c r="EN3" s="114" t="str">
        <f>IFERROR(VLOOKUP(EN5,'Name List'!$B$3:$E$1000,12,FALSE),"name?")</f>
        <v>name?</v>
      </c>
      <c r="EO3" s="114" t="str">
        <f>IFERROR(VLOOKUP(EO5,'Name List'!$B$3:$E$1000,12,FALSE),"name?")</f>
        <v>name?</v>
      </c>
      <c r="EP3" s="114" t="str">
        <f>IFERROR(VLOOKUP(EP5,'Name List'!$B$3:$E$1000,12,FALSE),"name?")</f>
        <v>name?</v>
      </c>
      <c r="EQ3" s="114" t="str">
        <f>IFERROR(VLOOKUP(EQ5,'Name List'!$B$3:$E$1000,12,FALSE),"name?")</f>
        <v>name?</v>
      </c>
      <c r="ER3" s="114" t="str">
        <f>IFERROR(VLOOKUP(ER5,'Name List'!$B$3:$E$1000,12,FALSE),"name?")</f>
        <v>name?</v>
      </c>
      <c r="ES3" s="114" t="str">
        <f>IFERROR(VLOOKUP(ES5,'Name List'!$B$3:$E$1000,12,FALSE),"name?")</f>
        <v>name?</v>
      </c>
      <c r="ET3" s="114" t="str">
        <f>IFERROR(VLOOKUP(ET5,'Name List'!$B$3:$E$1000,12,FALSE),"name?")</f>
        <v>name?</v>
      </c>
      <c r="EU3" s="114" t="str">
        <f>IFERROR(VLOOKUP(EU5,'Name List'!$B$3:$E$1000,12,FALSE),"name?")</f>
        <v>name?</v>
      </c>
      <c r="EV3" s="114" t="str">
        <f>IFERROR(VLOOKUP(EV5,'Name List'!$B$3:$E$1000,12,FALSE),"name?")</f>
        <v>name?</v>
      </c>
      <c r="EW3" s="114" t="str">
        <f>IFERROR(VLOOKUP(EW5,'Name List'!$B$3:$E$1000,12,FALSE),"name?")</f>
        <v>name?</v>
      </c>
      <c r="EX3" s="114" t="str">
        <f>IFERROR(VLOOKUP(EX5,'Name List'!$B$3:$E$1000,12,FALSE),"name?")</f>
        <v>name?</v>
      </c>
      <c r="EY3" s="114" t="str">
        <f>IFERROR(VLOOKUP(EY5,'Name List'!$B$3:$E$1000,12,FALSE),"name?")</f>
        <v>name?</v>
      </c>
      <c r="EZ3" s="114" t="str">
        <f>IFERROR(VLOOKUP(EZ5,'Name List'!$B$3:$E$1000,12,FALSE),"name?")</f>
        <v>name?</v>
      </c>
      <c r="FA3" s="114" t="str">
        <f>IFERROR(VLOOKUP(FA5,'Name List'!$B$3:$E$1000,12,FALSE),"name?")</f>
        <v>name?</v>
      </c>
      <c r="FB3" s="114" t="str">
        <f>IFERROR(VLOOKUP(FB5,'Name List'!$B$3:$E$1000,12,FALSE),"name?")</f>
        <v>name?</v>
      </c>
      <c r="FC3" s="114" t="str">
        <f>IFERROR(VLOOKUP(FC5,'Name List'!$B$3:$E$1000,12,FALSE),"name?")</f>
        <v>name?</v>
      </c>
      <c r="FD3" s="114" t="str">
        <f>IFERROR(VLOOKUP(FD5,'Name List'!$B$3:$E$1000,12,FALSE),"name?")</f>
        <v>name?</v>
      </c>
      <c r="FE3" s="114" t="str">
        <f>IFERROR(VLOOKUP(FE5,'Name List'!$B$3:$E$1000,12,FALSE),"name?")</f>
        <v>name?</v>
      </c>
      <c r="FF3" s="114" t="str">
        <f>IFERROR(VLOOKUP(FF5,'Name List'!$B$3:$E$1000,12,FALSE),"name?")</f>
        <v>name?</v>
      </c>
      <c r="FG3" s="114" t="str">
        <f>IFERROR(VLOOKUP(FG5,'Name List'!$B$3:$E$1000,12,FALSE),"name?")</f>
        <v>name?</v>
      </c>
      <c r="FH3" s="114" t="str">
        <f>IFERROR(VLOOKUP(FH5,'Name List'!$B$3:$E$1000,12,FALSE),"name?")</f>
        <v>name?</v>
      </c>
      <c r="FI3" s="114" t="str">
        <f>IFERROR(VLOOKUP(FI5,'Name List'!$B$3:$E$1000,12,FALSE),"name?")</f>
        <v>name?</v>
      </c>
      <c r="FJ3" s="114" t="str">
        <f>IFERROR(VLOOKUP(FJ5,'Name List'!$B$3:$E$1000,12,FALSE),"name?")</f>
        <v>name?</v>
      </c>
      <c r="FK3" s="114" t="str">
        <f>IFERROR(VLOOKUP(FK5,'Name List'!$B$3:$E$1000,12,FALSE),"name?")</f>
        <v>name?</v>
      </c>
      <c r="FL3" s="114" t="str">
        <f>IFERROR(VLOOKUP(FL5,'Name List'!$B$3:$E$1000,12,FALSE),"name?")</f>
        <v>name?</v>
      </c>
      <c r="FM3" s="114" t="str">
        <f>IFERROR(VLOOKUP(FM5,'Name List'!$B$3:$E$1000,12,FALSE),"name?")</f>
        <v>name?</v>
      </c>
      <c r="FN3" s="114" t="str">
        <f>IFERROR(VLOOKUP(FN5,'Name List'!$B$3:$E$1000,12,FALSE),"name?")</f>
        <v>name?</v>
      </c>
      <c r="FO3" s="114" t="str">
        <f>IFERROR(VLOOKUP(FO5,'Name List'!$B$3:$E$1000,12,FALSE),"name?")</f>
        <v>name?</v>
      </c>
      <c r="FP3" s="114" t="str">
        <f>IFERROR(VLOOKUP(FP5,'Name List'!$B$3:$E$1000,12,FALSE),"name?")</f>
        <v>name?</v>
      </c>
      <c r="FQ3" s="114" t="str">
        <f>IFERROR(VLOOKUP(FQ5,'Name List'!$B$3:$E$1000,12,FALSE),"name?")</f>
        <v>name?</v>
      </c>
      <c r="FR3" s="114" t="str">
        <f>IFERROR(VLOOKUP(FR5,'Name List'!$B$3:$E$1000,12,FALSE),"name?")</f>
        <v>name?</v>
      </c>
    </row>
    <row r="4" spans="1:174" ht="6" customHeight="1" thickBot="1" x14ac:dyDescent="0.35">
      <c r="B4" s="109"/>
    </row>
    <row r="5" spans="1:174" s="195" customFormat="1" ht="110.1" customHeight="1" x14ac:dyDescent="0.3">
      <c r="A5" s="193"/>
      <c r="B5" s="194" t="s">
        <v>57</v>
      </c>
      <c r="C5" s="192" t="s">
        <v>217</v>
      </c>
      <c r="D5" s="192" t="s">
        <v>218</v>
      </c>
      <c r="E5" s="192" t="s">
        <v>219</v>
      </c>
      <c r="F5" s="192" t="s">
        <v>220</v>
      </c>
      <c r="G5" s="192" t="s">
        <v>221</v>
      </c>
      <c r="H5" s="192" t="s">
        <v>222</v>
      </c>
      <c r="I5" s="192" t="s">
        <v>223</v>
      </c>
      <c r="J5" s="192" t="s">
        <v>224</v>
      </c>
      <c r="K5" s="192" t="s">
        <v>225</v>
      </c>
      <c r="L5" s="192" t="s">
        <v>226</v>
      </c>
      <c r="M5" s="192" t="s">
        <v>227</v>
      </c>
      <c r="N5" s="192" t="s">
        <v>228</v>
      </c>
      <c r="O5" s="192" t="s">
        <v>229</v>
      </c>
      <c r="P5" s="192" t="s">
        <v>230</v>
      </c>
      <c r="Q5" s="192" t="s">
        <v>231</v>
      </c>
      <c r="R5" s="192" t="s">
        <v>159</v>
      </c>
      <c r="S5" s="192" t="s">
        <v>232</v>
      </c>
      <c r="T5" s="192" t="s">
        <v>233</v>
      </c>
      <c r="U5" s="192" t="s">
        <v>234</v>
      </c>
      <c r="V5" s="192" t="s">
        <v>235</v>
      </c>
      <c r="W5" s="192" t="s">
        <v>236</v>
      </c>
      <c r="X5" s="192" t="s">
        <v>237</v>
      </c>
      <c r="Y5" s="192" t="s">
        <v>238</v>
      </c>
      <c r="Z5" s="192" t="s">
        <v>239</v>
      </c>
      <c r="AA5" s="192" t="s">
        <v>240</v>
      </c>
      <c r="AB5" s="192" t="s">
        <v>241</v>
      </c>
      <c r="AC5" s="192" t="s">
        <v>165</v>
      </c>
      <c r="AD5" s="192" t="s">
        <v>161</v>
      </c>
      <c r="AE5" s="192" t="s">
        <v>242</v>
      </c>
      <c r="AF5" s="192" t="s">
        <v>243</v>
      </c>
      <c r="AG5" s="192" t="s">
        <v>244</v>
      </c>
      <c r="AH5" s="192" t="s">
        <v>245</v>
      </c>
      <c r="AI5" s="192" t="s">
        <v>163</v>
      </c>
      <c r="AJ5" s="192" t="s">
        <v>246</v>
      </c>
      <c r="AK5" s="192" t="s">
        <v>247</v>
      </c>
      <c r="AL5" s="192" t="s">
        <v>248</v>
      </c>
      <c r="AM5" s="192" t="s">
        <v>164</v>
      </c>
      <c r="AN5" s="192" t="s">
        <v>166</v>
      </c>
      <c r="AO5" s="192" t="s">
        <v>249</v>
      </c>
      <c r="AP5" s="192" t="s">
        <v>162</v>
      </c>
      <c r="AQ5" s="192" t="s">
        <v>167</v>
      </c>
      <c r="AR5" s="192" t="s">
        <v>250</v>
      </c>
      <c r="AS5" s="192" t="s">
        <v>160</v>
      </c>
      <c r="AT5" s="192" t="s">
        <v>251</v>
      </c>
      <c r="AU5" s="192" t="s">
        <v>252</v>
      </c>
      <c r="AV5" s="192" t="s">
        <v>253</v>
      </c>
      <c r="AW5" s="192" t="s">
        <v>254</v>
      </c>
      <c r="AX5" s="192" t="s">
        <v>255</v>
      </c>
      <c r="AY5" s="192" t="s">
        <v>256</v>
      </c>
      <c r="AZ5" s="192" t="s">
        <v>257</v>
      </c>
      <c r="BA5" s="192" t="s">
        <v>258</v>
      </c>
      <c r="BB5" s="192" t="s">
        <v>259</v>
      </c>
      <c r="BC5" s="192" t="s">
        <v>260</v>
      </c>
      <c r="BD5" s="192" t="s">
        <v>261</v>
      </c>
      <c r="BE5" s="192" t="s">
        <v>262</v>
      </c>
      <c r="BF5" s="192" t="s">
        <v>263</v>
      </c>
      <c r="BG5" s="192" t="s">
        <v>264</v>
      </c>
      <c r="BH5" s="192" t="s">
        <v>265</v>
      </c>
      <c r="BI5" s="192" t="s">
        <v>266</v>
      </c>
      <c r="BJ5" s="192" t="s">
        <v>267</v>
      </c>
      <c r="BK5" s="192" t="s">
        <v>268</v>
      </c>
      <c r="BL5" s="192" t="s">
        <v>269</v>
      </c>
      <c r="BM5" s="192" t="s">
        <v>270</v>
      </c>
      <c r="BN5" s="192" t="s">
        <v>271</v>
      </c>
      <c r="BO5" s="192" t="s">
        <v>272</v>
      </c>
      <c r="BP5" s="192" t="s">
        <v>273</v>
      </c>
      <c r="BQ5" s="192" t="s">
        <v>274</v>
      </c>
      <c r="BR5" s="192" t="s">
        <v>275</v>
      </c>
      <c r="BS5" s="192" t="s">
        <v>276</v>
      </c>
      <c r="BT5" s="192" t="s">
        <v>277</v>
      </c>
      <c r="BU5" s="192" t="s">
        <v>278</v>
      </c>
      <c r="BV5" s="192" t="s">
        <v>279</v>
      </c>
      <c r="BW5" s="192" t="s">
        <v>280</v>
      </c>
      <c r="BX5" s="192" t="s">
        <v>281</v>
      </c>
      <c r="BY5" s="192" t="s">
        <v>282</v>
      </c>
      <c r="BZ5" s="192" t="s">
        <v>283</v>
      </c>
      <c r="CA5" s="192" t="s">
        <v>284</v>
      </c>
      <c r="CB5" s="192" t="s">
        <v>285</v>
      </c>
      <c r="CC5" s="192" t="s">
        <v>286</v>
      </c>
      <c r="CD5" s="192" t="s">
        <v>287</v>
      </c>
      <c r="CE5" s="192" t="s">
        <v>288</v>
      </c>
      <c r="CF5" s="192" t="s">
        <v>289</v>
      </c>
      <c r="CG5" s="192" t="s">
        <v>290</v>
      </c>
      <c r="CH5" s="192" t="s">
        <v>291</v>
      </c>
      <c r="CI5" s="192" t="s">
        <v>292</v>
      </c>
      <c r="CJ5" s="192" t="s">
        <v>293</v>
      </c>
      <c r="CK5" s="192" t="s">
        <v>294</v>
      </c>
      <c r="CL5" s="192" t="s">
        <v>295</v>
      </c>
      <c r="CM5" s="192" t="s">
        <v>296</v>
      </c>
      <c r="CN5" s="192" t="s">
        <v>297</v>
      </c>
      <c r="CO5" s="192"/>
      <c r="CP5" s="192"/>
      <c r="CQ5" s="192"/>
      <c r="CR5" s="192"/>
      <c r="CS5" s="192"/>
      <c r="CT5" s="192"/>
      <c r="CU5" s="192"/>
      <c r="CV5" s="192"/>
      <c r="CW5" s="192"/>
      <c r="CX5" s="192"/>
      <c r="CY5" s="192"/>
      <c r="CZ5" s="192"/>
      <c r="DA5" s="192"/>
      <c r="DB5" s="192"/>
      <c r="DC5" s="192"/>
      <c r="DD5" s="192"/>
      <c r="DE5" s="192"/>
      <c r="DF5" s="192"/>
      <c r="DG5" s="192"/>
      <c r="DH5" s="192"/>
      <c r="DI5" s="192"/>
      <c r="DJ5" s="192"/>
      <c r="DK5" s="192"/>
      <c r="DL5" s="192"/>
      <c r="DM5" s="192"/>
      <c r="DN5" s="192"/>
      <c r="DO5" s="192"/>
      <c r="DP5" s="192"/>
      <c r="DQ5" s="192"/>
      <c r="DR5" s="192"/>
      <c r="DS5" s="192"/>
      <c r="DT5" s="192"/>
      <c r="DU5" s="192"/>
      <c r="DV5" s="192"/>
      <c r="DW5" s="192"/>
      <c r="DX5" s="192"/>
      <c r="DY5" s="192"/>
      <c r="DZ5" s="192"/>
      <c r="EA5" s="192"/>
      <c r="EB5" s="192"/>
      <c r="EC5" s="192"/>
      <c r="ED5" s="192"/>
      <c r="EE5" s="192"/>
      <c r="EF5" s="192"/>
      <c r="EG5" s="192"/>
      <c r="EH5" s="192"/>
      <c r="EI5" s="192"/>
      <c r="EJ5" s="192"/>
      <c r="EK5" s="192"/>
      <c r="EL5" s="192"/>
      <c r="EM5" s="192"/>
      <c r="EN5" s="192"/>
      <c r="EO5" s="192"/>
      <c r="EP5" s="192"/>
      <c r="EQ5" s="192"/>
      <c r="ER5" s="192"/>
      <c r="ES5" s="192"/>
      <c r="ET5" s="192"/>
      <c r="EU5" s="192"/>
      <c r="EV5" s="192"/>
      <c r="EW5" s="192"/>
      <c r="EX5" s="192"/>
      <c r="EY5" s="192"/>
      <c r="EZ5" s="192"/>
      <c r="FA5" s="192"/>
      <c r="FB5" s="192"/>
      <c r="FC5" s="192"/>
      <c r="FD5" s="192"/>
      <c r="FE5" s="192"/>
      <c r="FF5" s="192"/>
      <c r="FG5" s="192"/>
      <c r="FH5" s="192"/>
      <c r="FI5" s="192"/>
      <c r="FJ5" s="192"/>
      <c r="FK5" s="192"/>
      <c r="FL5" s="192"/>
      <c r="FM5" s="192"/>
      <c r="FN5" s="192"/>
      <c r="FO5" s="192"/>
      <c r="FP5" s="192"/>
      <c r="FQ5" s="192"/>
      <c r="FR5" s="192"/>
    </row>
    <row r="6" spans="1:174" s="119" customFormat="1" ht="4.95" customHeight="1" x14ac:dyDescent="0.3">
      <c r="A6" s="116"/>
      <c r="B6" s="117"/>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c r="BO6" s="118"/>
      <c r="BP6" s="118"/>
      <c r="BQ6" s="118"/>
      <c r="BR6" s="118"/>
      <c r="BS6" s="118"/>
      <c r="BT6" s="118"/>
      <c r="BU6" s="118"/>
      <c r="BV6" s="118"/>
      <c r="BW6" s="118"/>
      <c r="BX6" s="118"/>
      <c r="BY6" s="118"/>
      <c r="BZ6" s="118"/>
      <c r="CA6" s="118"/>
      <c r="CB6" s="118"/>
      <c r="CC6" s="118"/>
      <c r="CD6" s="118"/>
      <c r="CE6" s="118"/>
      <c r="CF6" s="118"/>
      <c r="CG6" s="118"/>
      <c r="CH6" s="118"/>
      <c r="CI6" s="118"/>
      <c r="CJ6" s="118"/>
      <c r="CK6" s="118"/>
      <c r="CL6" s="118"/>
      <c r="CM6" s="118"/>
      <c r="CN6" s="118"/>
      <c r="CO6" s="118"/>
      <c r="CP6" s="118"/>
      <c r="CQ6" s="118"/>
      <c r="CR6" s="118"/>
      <c r="CS6" s="118"/>
      <c r="CT6" s="118"/>
      <c r="CU6" s="118"/>
      <c r="CV6" s="118"/>
      <c r="CW6" s="118"/>
      <c r="CX6" s="118"/>
      <c r="CY6" s="118"/>
      <c r="CZ6" s="118"/>
      <c r="DA6" s="118"/>
      <c r="DB6" s="118"/>
      <c r="DC6" s="118"/>
      <c r="DD6" s="118"/>
      <c r="DE6" s="118"/>
      <c r="DF6" s="118"/>
      <c r="DG6" s="118"/>
      <c r="DH6" s="118"/>
      <c r="DI6" s="118"/>
      <c r="DJ6" s="118"/>
      <c r="DK6" s="118"/>
      <c r="DL6" s="118"/>
      <c r="DM6" s="118"/>
      <c r="DN6" s="118"/>
      <c r="DO6" s="118"/>
      <c r="DP6" s="118"/>
      <c r="DQ6" s="118"/>
      <c r="DR6" s="118"/>
      <c r="DS6" s="118"/>
      <c r="DT6" s="118"/>
      <c r="DU6" s="118"/>
      <c r="DV6" s="118"/>
      <c r="DW6" s="118"/>
      <c r="DX6" s="118"/>
      <c r="DY6" s="118"/>
      <c r="DZ6" s="118"/>
      <c r="EA6" s="118"/>
      <c r="EB6" s="118"/>
      <c r="EC6" s="118"/>
      <c r="ED6" s="118"/>
      <c r="EE6" s="118"/>
      <c r="EF6" s="118"/>
      <c r="EG6" s="118"/>
      <c r="EH6" s="118"/>
      <c r="EI6" s="118"/>
      <c r="EJ6" s="118"/>
      <c r="EK6" s="118"/>
      <c r="EL6" s="118"/>
      <c r="EM6" s="118"/>
      <c r="EN6" s="118"/>
      <c r="EO6" s="118"/>
      <c r="EP6" s="118"/>
      <c r="EQ6" s="118"/>
      <c r="ER6" s="118"/>
      <c r="ES6" s="118"/>
      <c r="ET6" s="118"/>
      <c r="EU6" s="118"/>
      <c r="EV6" s="118"/>
      <c r="EW6" s="118"/>
      <c r="EX6" s="118"/>
      <c r="EY6" s="118"/>
      <c r="EZ6" s="118"/>
      <c r="FA6" s="118"/>
      <c r="FB6" s="118"/>
      <c r="FC6" s="118"/>
      <c r="FD6" s="118"/>
      <c r="FE6" s="118"/>
      <c r="FF6" s="118"/>
      <c r="FG6" s="118"/>
      <c r="FH6" s="118"/>
      <c r="FI6" s="118"/>
      <c r="FJ6" s="118"/>
      <c r="FK6" s="118"/>
      <c r="FL6" s="118"/>
      <c r="FM6" s="118"/>
      <c r="FN6" s="118"/>
      <c r="FO6" s="118"/>
      <c r="FP6" s="118"/>
      <c r="FQ6" s="118"/>
      <c r="FR6" s="118"/>
    </row>
    <row r="7" spans="1:174" s="119" customFormat="1" ht="16.95" customHeight="1" x14ac:dyDescent="0.3">
      <c r="A7" s="116"/>
      <c r="B7" s="120" t="s">
        <v>9</v>
      </c>
      <c r="C7" s="188">
        <v>9</v>
      </c>
      <c r="D7" s="188"/>
      <c r="E7" s="188"/>
      <c r="F7" s="188"/>
      <c r="G7" s="188"/>
      <c r="H7" s="188"/>
      <c r="I7" s="188"/>
      <c r="J7" s="188"/>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188"/>
      <c r="AJ7" s="188"/>
      <c r="AK7" s="188"/>
      <c r="AL7" s="188"/>
      <c r="AM7" s="188"/>
      <c r="AN7" s="188"/>
      <c r="AO7" s="188"/>
      <c r="AP7" s="188"/>
      <c r="AQ7" s="188"/>
      <c r="AR7" s="188"/>
      <c r="AS7" s="188"/>
      <c r="AT7" s="188"/>
      <c r="AU7" s="188"/>
      <c r="AV7" s="188"/>
      <c r="AW7" s="188"/>
      <c r="AX7" s="188"/>
      <c r="AY7" s="188"/>
      <c r="AZ7" s="188"/>
      <c r="BA7" s="188"/>
      <c r="BB7" s="188"/>
      <c r="BC7" s="188"/>
      <c r="BD7" s="188"/>
      <c r="BE7" s="188"/>
      <c r="BF7" s="188"/>
      <c r="BG7" s="188"/>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c r="CM7" s="188"/>
      <c r="CN7" s="188"/>
      <c r="CO7" s="188"/>
      <c r="CP7" s="188"/>
      <c r="CQ7" s="188"/>
      <c r="CR7" s="188"/>
      <c r="CS7" s="188"/>
      <c r="CT7" s="188"/>
      <c r="CU7" s="188"/>
      <c r="CV7" s="188"/>
      <c r="CW7" s="188"/>
      <c r="CX7" s="188"/>
      <c r="CY7" s="188"/>
      <c r="CZ7" s="188"/>
      <c r="DA7" s="188"/>
      <c r="DB7" s="188"/>
      <c r="DC7" s="188"/>
      <c r="DD7" s="188"/>
      <c r="DE7" s="188"/>
      <c r="DF7" s="188"/>
      <c r="DG7" s="188"/>
      <c r="DH7" s="188"/>
      <c r="DI7" s="188"/>
      <c r="DJ7" s="188"/>
      <c r="DK7" s="188"/>
      <c r="DL7" s="188"/>
      <c r="DM7" s="188"/>
      <c r="DN7" s="188"/>
      <c r="DO7" s="188"/>
      <c r="DP7" s="188"/>
      <c r="DQ7" s="188"/>
      <c r="DR7" s="188"/>
      <c r="DS7" s="188"/>
      <c r="DT7" s="188"/>
      <c r="DU7" s="188"/>
      <c r="DV7" s="188"/>
      <c r="DW7" s="188"/>
      <c r="DX7" s="188"/>
      <c r="DY7" s="188"/>
      <c r="DZ7" s="188"/>
      <c r="EA7" s="188"/>
      <c r="EB7" s="188"/>
      <c r="EC7" s="188"/>
      <c r="ED7" s="188"/>
      <c r="EE7" s="188"/>
      <c r="EF7" s="188"/>
      <c r="EG7" s="188"/>
      <c r="EH7" s="188"/>
      <c r="EI7" s="188"/>
      <c r="EJ7" s="188"/>
      <c r="EK7" s="188"/>
      <c r="EL7" s="188"/>
      <c r="EM7" s="188"/>
      <c r="EN7" s="188"/>
      <c r="EO7" s="188"/>
      <c r="EP7" s="188"/>
      <c r="EQ7" s="188"/>
      <c r="ER7" s="188"/>
      <c r="ES7" s="188"/>
      <c r="ET7" s="188"/>
      <c r="EU7" s="188"/>
      <c r="EV7" s="188"/>
      <c r="EW7" s="188"/>
      <c r="EX7" s="188"/>
      <c r="EY7" s="188"/>
      <c r="EZ7" s="188"/>
      <c r="FA7" s="188"/>
      <c r="FB7" s="188"/>
      <c r="FC7" s="188"/>
      <c r="FD7" s="188"/>
      <c r="FE7" s="188"/>
      <c r="FF7" s="188"/>
      <c r="FG7" s="188"/>
      <c r="FH7" s="188"/>
      <c r="FI7" s="188"/>
      <c r="FJ7" s="188"/>
      <c r="FK7" s="188"/>
      <c r="FL7" s="188"/>
      <c r="FM7" s="188"/>
      <c r="FN7" s="188"/>
      <c r="FO7" s="188"/>
      <c r="FP7" s="188"/>
      <c r="FQ7" s="188"/>
      <c r="FR7" s="188"/>
    </row>
    <row r="8" spans="1:174" s="119" customFormat="1" ht="16.95" customHeight="1" x14ac:dyDescent="0.3">
      <c r="A8" s="116"/>
      <c r="B8" s="120" t="s">
        <v>10</v>
      </c>
      <c r="C8" s="188">
        <v>7</v>
      </c>
      <c r="D8" s="188"/>
      <c r="E8" s="188"/>
      <c r="F8" s="188"/>
      <c r="G8" s="188"/>
      <c r="H8" s="188"/>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c r="AH8" s="188"/>
      <c r="AI8" s="188"/>
      <c r="AJ8" s="188"/>
      <c r="AK8" s="188"/>
      <c r="AL8" s="188"/>
      <c r="AM8" s="188"/>
      <c r="AN8" s="188"/>
      <c r="AO8" s="188"/>
      <c r="AP8" s="188"/>
      <c r="AQ8" s="188"/>
      <c r="AR8" s="188"/>
      <c r="AS8" s="188"/>
      <c r="AT8" s="188"/>
      <c r="AU8" s="188"/>
      <c r="AV8" s="188"/>
      <c r="AW8" s="188"/>
      <c r="AX8" s="188"/>
      <c r="AY8" s="188"/>
      <c r="AZ8" s="188"/>
      <c r="BA8" s="188"/>
      <c r="BB8" s="188"/>
      <c r="BC8" s="188"/>
      <c r="BD8" s="188"/>
      <c r="BE8" s="188"/>
      <c r="BF8" s="188"/>
      <c r="BG8" s="188"/>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c r="CM8" s="188"/>
      <c r="CN8" s="188"/>
      <c r="CO8" s="188"/>
      <c r="CP8" s="188"/>
      <c r="CQ8" s="188"/>
      <c r="CR8" s="188"/>
      <c r="CS8" s="188"/>
      <c r="CT8" s="188"/>
      <c r="CU8" s="188"/>
      <c r="CV8" s="188"/>
      <c r="CW8" s="188"/>
      <c r="CX8" s="188"/>
      <c r="CY8" s="188"/>
      <c r="CZ8" s="188"/>
      <c r="DA8" s="188"/>
      <c r="DB8" s="188"/>
      <c r="DC8" s="188"/>
      <c r="DD8" s="188"/>
      <c r="DE8" s="188"/>
      <c r="DF8" s="188"/>
      <c r="DG8" s="188"/>
      <c r="DH8" s="188"/>
      <c r="DI8" s="188"/>
      <c r="DJ8" s="188"/>
      <c r="DK8" s="188"/>
      <c r="DL8" s="188"/>
      <c r="DM8" s="188"/>
      <c r="DN8" s="188"/>
      <c r="DO8" s="188"/>
      <c r="DP8" s="188"/>
      <c r="DQ8" s="188"/>
      <c r="DR8" s="188"/>
      <c r="DS8" s="188"/>
      <c r="DT8" s="188"/>
      <c r="DU8" s="188"/>
      <c r="DV8" s="188"/>
      <c r="DW8" s="188"/>
      <c r="DX8" s="188"/>
      <c r="DY8" s="188"/>
      <c r="DZ8" s="188"/>
      <c r="EA8" s="188"/>
      <c r="EB8" s="188"/>
      <c r="EC8" s="188"/>
      <c r="ED8" s="188"/>
      <c r="EE8" s="188"/>
      <c r="EF8" s="188"/>
      <c r="EG8" s="188"/>
      <c r="EH8" s="188"/>
      <c r="EI8" s="188"/>
      <c r="EJ8" s="188"/>
      <c r="EK8" s="188"/>
      <c r="EL8" s="188"/>
      <c r="EM8" s="188"/>
      <c r="EN8" s="188"/>
      <c r="EO8" s="188"/>
      <c r="EP8" s="188"/>
      <c r="EQ8" s="188"/>
      <c r="ER8" s="188"/>
      <c r="ES8" s="188"/>
      <c r="ET8" s="188"/>
      <c r="EU8" s="188"/>
      <c r="EV8" s="188"/>
      <c r="EW8" s="188"/>
      <c r="EX8" s="188"/>
      <c r="EY8" s="188"/>
      <c r="EZ8" s="188"/>
      <c r="FA8" s="188"/>
      <c r="FB8" s="188"/>
      <c r="FC8" s="188"/>
      <c r="FD8" s="188"/>
      <c r="FE8" s="188"/>
      <c r="FF8" s="188"/>
      <c r="FG8" s="188"/>
      <c r="FH8" s="188"/>
      <c r="FI8" s="188"/>
      <c r="FJ8" s="188"/>
      <c r="FK8" s="188"/>
      <c r="FL8" s="188"/>
      <c r="FM8" s="188"/>
      <c r="FN8" s="188"/>
      <c r="FO8" s="188"/>
      <c r="FP8" s="188"/>
      <c r="FQ8" s="188"/>
      <c r="FR8" s="188"/>
    </row>
    <row r="9" spans="1:174" s="119" customFormat="1" ht="16.95" customHeight="1" x14ac:dyDescent="0.3">
      <c r="A9" s="116"/>
      <c r="B9" s="120" t="s">
        <v>11</v>
      </c>
      <c r="C9" s="188">
        <v>8</v>
      </c>
      <c r="D9" s="188"/>
      <c r="E9" s="188"/>
      <c r="F9" s="188"/>
      <c r="G9" s="188"/>
      <c r="H9" s="188"/>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c r="AH9" s="188"/>
      <c r="AI9" s="188"/>
      <c r="AJ9" s="188"/>
      <c r="AK9" s="188"/>
      <c r="AL9" s="188"/>
      <c r="AM9" s="188"/>
      <c r="AN9" s="188"/>
      <c r="AO9" s="188"/>
      <c r="AP9" s="188"/>
      <c r="AQ9" s="188"/>
      <c r="AR9" s="188"/>
      <c r="AS9" s="188"/>
      <c r="AT9" s="188"/>
      <c r="AU9" s="188"/>
      <c r="AV9" s="188"/>
      <c r="AW9" s="188"/>
      <c r="AX9" s="188"/>
      <c r="AY9" s="188"/>
      <c r="AZ9" s="188"/>
      <c r="BA9" s="188"/>
      <c r="BB9" s="188"/>
      <c r="BC9" s="188"/>
      <c r="BD9" s="188"/>
      <c r="BE9" s="188"/>
      <c r="BF9" s="188"/>
      <c r="BG9" s="188"/>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c r="CM9" s="188"/>
      <c r="CN9" s="188"/>
      <c r="CO9" s="188"/>
      <c r="CP9" s="188"/>
      <c r="CQ9" s="188"/>
      <c r="CR9" s="188"/>
      <c r="CS9" s="188"/>
      <c r="CT9" s="188"/>
      <c r="CU9" s="188"/>
      <c r="CV9" s="188"/>
      <c r="CW9" s="188"/>
      <c r="CX9" s="188"/>
      <c r="CY9" s="188"/>
      <c r="CZ9" s="188"/>
      <c r="DA9" s="188"/>
      <c r="DB9" s="188"/>
      <c r="DC9" s="188"/>
      <c r="DD9" s="188"/>
      <c r="DE9" s="188"/>
      <c r="DF9" s="188"/>
      <c r="DG9" s="188"/>
      <c r="DH9" s="188"/>
      <c r="DI9" s="188"/>
      <c r="DJ9" s="188"/>
      <c r="DK9" s="188"/>
      <c r="DL9" s="188"/>
      <c r="DM9" s="188"/>
      <c r="DN9" s="188"/>
      <c r="DO9" s="188"/>
      <c r="DP9" s="188"/>
      <c r="DQ9" s="188"/>
      <c r="DR9" s="188"/>
      <c r="DS9" s="188"/>
      <c r="DT9" s="188"/>
      <c r="DU9" s="188"/>
      <c r="DV9" s="188"/>
      <c r="DW9" s="188"/>
      <c r="DX9" s="188"/>
      <c r="DY9" s="188"/>
      <c r="DZ9" s="188"/>
      <c r="EA9" s="188"/>
      <c r="EB9" s="188"/>
      <c r="EC9" s="188"/>
      <c r="ED9" s="188"/>
      <c r="EE9" s="188"/>
      <c r="EF9" s="188"/>
      <c r="EG9" s="188"/>
      <c r="EH9" s="188"/>
      <c r="EI9" s="188"/>
      <c r="EJ9" s="188"/>
      <c r="EK9" s="188"/>
      <c r="EL9" s="188"/>
      <c r="EM9" s="188"/>
      <c r="EN9" s="188"/>
      <c r="EO9" s="188"/>
      <c r="EP9" s="188"/>
      <c r="EQ9" s="188"/>
      <c r="ER9" s="188"/>
      <c r="ES9" s="188"/>
      <c r="ET9" s="188"/>
      <c r="EU9" s="188"/>
      <c r="EV9" s="188"/>
      <c r="EW9" s="188"/>
      <c r="EX9" s="188"/>
      <c r="EY9" s="188"/>
      <c r="EZ9" s="188"/>
      <c r="FA9" s="188"/>
      <c r="FB9" s="188"/>
      <c r="FC9" s="188"/>
      <c r="FD9" s="188"/>
      <c r="FE9" s="188"/>
      <c r="FF9" s="188"/>
      <c r="FG9" s="188"/>
      <c r="FH9" s="188"/>
      <c r="FI9" s="188"/>
      <c r="FJ9" s="188"/>
      <c r="FK9" s="188"/>
      <c r="FL9" s="188"/>
      <c r="FM9" s="188"/>
      <c r="FN9" s="188"/>
      <c r="FO9" s="188"/>
      <c r="FP9" s="188"/>
      <c r="FQ9" s="188"/>
      <c r="FR9" s="188"/>
    </row>
    <row r="10" spans="1:174" s="119" customFormat="1" ht="16.95" customHeight="1" x14ac:dyDescent="0.3">
      <c r="A10" s="116"/>
      <c r="B10" s="120" t="s">
        <v>12</v>
      </c>
      <c r="C10" s="188">
        <v>9</v>
      </c>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188"/>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row>
    <row r="11" spans="1:174" s="119" customFormat="1" ht="16.95" customHeight="1" x14ac:dyDescent="0.3">
      <c r="A11" s="116"/>
      <c r="B11" s="120" t="s">
        <v>13</v>
      </c>
      <c r="C11" s="188">
        <v>9</v>
      </c>
      <c r="D11" s="188"/>
      <c r="E11" s="188"/>
      <c r="F11" s="188"/>
      <c r="G11" s="188"/>
      <c r="H11" s="188"/>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c r="AH11" s="188"/>
      <c r="AI11" s="188"/>
      <c r="AJ11" s="188"/>
      <c r="AK11" s="188"/>
      <c r="AL11" s="188"/>
      <c r="AM11" s="188"/>
      <c r="AN11" s="188"/>
      <c r="AO11" s="188"/>
      <c r="AP11" s="188"/>
      <c r="AQ11" s="188"/>
      <c r="AR11" s="188"/>
      <c r="AS11" s="188"/>
      <c r="AT11" s="188"/>
      <c r="AU11" s="188"/>
      <c r="AV11" s="188"/>
      <c r="AW11" s="188"/>
      <c r="AX11" s="188"/>
      <c r="AY11" s="188"/>
      <c r="AZ11" s="188"/>
      <c r="BA11" s="188"/>
      <c r="BB11" s="188"/>
      <c r="BC11" s="188"/>
      <c r="BD11" s="188"/>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c r="CM11" s="188"/>
      <c r="CN11" s="188"/>
      <c r="CO11" s="188"/>
      <c r="CP11" s="188"/>
      <c r="CQ11" s="188"/>
      <c r="CR11" s="188"/>
      <c r="CS11" s="188"/>
      <c r="CT11" s="188"/>
      <c r="CU11" s="188"/>
      <c r="CV11" s="188"/>
      <c r="CW11" s="188"/>
      <c r="CX11" s="188"/>
      <c r="CY11" s="188"/>
      <c r="CZ11" s="188"/>
      <c r="DA11" s="188"/>
      <c r="DB11" s="188"/>
      <c r="DC11" s="188"/>
      <c r="DD11" s="188"/>
      <c r="DE11" s="188"/>
      <c r="DF11" s="188"/>
      <c r="DG11" s="188"/>
      <c r="DH11" s="188"/>
      <c r="DI11" s="188"/>
      <c r="DJ11" s="188"/>
      <c r="DK11" s="188"/>
      <c r="DL11" s="188"/>
      <c r="DM11" s="188"/>
      <c r="DN11" s="188"/>
      <c r="DO11" s="188"/>
      <c r="DP11" s="188"/>
      <c r="DQ11" s="188"/>
      <c r="DR11" s="188"/>
      <c r="DS11" s="188"/>
      <c r="DT11" s="188"/>
      <c r="DU11" s="188"/>
      <c r="DV11" s="188"/>
      <c r="DW11" s="188"/>
      <c r="DX11" s="188"/>
      <c r="DY11" s="188"/>
      <c r="DZ11" s="188"/>
      <c r="EA11" s="188"/>
      <c r="EB11" s="188"/>
      <c r="EC11" s="188"/>
      <c r="ED11" s="188"/>
      <c r="EE11" s="188"/>
      <c r="EF11" s="188"/>
      <c r="EG11" s="188"/>
      <c r="EH11" s="188"/>
      <c r="EI11" s="188"/>
      <c r="EJ11" s="188"/>
      <c r="EK11" s="188"/>
      <c r="EL11" s="188"/>
      <c r="EM11" s="188"/>
      <c r="EN11" s="188"/>
      <c r="EO11" s="188"/>
      <c r="EP11" s="188"/>
      <c r="EQ11" s="188"/>
      <c r="ER11" s="188"/>
      <c r="ES11" s="188"/>
      <c r="ET11" s="188"/>
      <c r="EU11" s="188"/>
      <c r="EV11" s="188"/>
      <c r="EW11" s="188"/>
      <c r="EX11" s="188"/>
      <c r="EY11" s="188"/>
      <c r="EZ11" s="188"/>
      <c r="FA11" s="188"/>
      <c r="FB11" s="188"/>
      <c r="FC11" s="188"/>
      <c r="FD11" s="188"/>
      <c r="FE11" s="188"/>
      <c r="FF11" s="188"/>
      <c r="FG11" s="188"/>
      <c r="FH11" s="188"/>
      <c r="FI11" s="188"/>
      <c r="FJ11" s="188"/>
      <c r="FK11" s="188"/>
      <c r="FL11" s="188"/>
      <c r="FM11" s="188"/>
      <c r="FN11" s="188"/>
      <c r="FO11" s="188"/>
      <c r="FP11" s="188"/>
      <c r="FQ11" s="188"/>
      <c r="FR11" s="188"/>
    </row>
    <row r="12" spans="1:174" s="116" customFormat="1" ht="16.95" customHeight="1" x14ac:dyDescent="0.3">
      <c r="B12" s="120" t="s">
        <v>14</v>
      </c>
      <c r="C12" s="189">
        <v>9</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189"/>
      <c r="BP12" s="189"/>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c r="CM12" s="189"/>
      <c r="CN12" s="189"/>
      <c r="CO12" s="189"/>
      <c r="CP12" s="189"/>
      <c r="CQ12" s="189"/>
      <c r="CR12" s="189"/>
      <c r="CS12" s="189"/>
      <c r="CT12" s="189"/>
      <c r="CU12" s="189"/>
      <c r="CV12" s="189"/>
      <c r="CW12" s="189"/>
      <c r="CX12" s="189"/>
      <c r="CY12" s="189"/>
      <c r="CZ12" s="189"/>
      <c r="DA12" s="189"/>
      <c r="DB12" s="189"/>
      <c r="DC12" s="189"/>
      <c r="DD12" s="189"/>
      <c r="DE12" s="189"/>
      <c r="DF12" s="189"/>
      <c r="DG12" s="189"/>
      <c r="DH12" s="189"/>
      <c r="DI12" s="189"/>
      <c r="DJ12" s="189"/>
      <c r="DK12" s="189"/>
      <c r="DL12" s="189"/>
      <c r="DM12" s="189"/>
      <c r="DN12" s="189"/>
      <c r="DO12" s="189"/>
      <c r="DP12" s="189"/>
      <c r="DQ12" s="189"/>
      <c r="DR12" s="189"/>
      <c r="DS12" s="189"/>
      <c r="DT12" s="189"/>
      <c r="DU12" s="189"/>
      <c r="DV12" s="189"/>
      <c r="DW12" s="189"/>
      <c r="DX12" s="189"/>
      <c r="DY12" s="189"/>
      <c r="DZ12" s="189"/>
      <c r="EA12" s="189"/>
      <c r="EB12" s="189"/>
      <c r="EC12" s="189"/>
      <c r="ED12" s="189"/>
      <c r="EE12" s="189"/>
      <c r="EF12" s="189"/>
      <c r="EG12" s="189"/>
      <c r="EH12" s="189"/>
      <c r="EI12" s="189"/>
      <c r="EJ12" s="189"/>
      <c r="EK12" s="189"/>
      <c r="EL12" s="189"/>
      <c r="EM12" s="189"/>
      <c r="EN12" s="189"/>
      <c r="EO12" s="189"/>
      <c r="EP12" s="189"/>
      <c r="EQ12" s="189"/>
      <c r="ER12" s="189"/>
      <c r="ES12" s="189"/>
      <c r="ET12" s="189"/>
      <c r="EU12" s="189"/>
      <c r="EV12" s="189"/>
      <c r="EW12" s="189"/>
      <c r="EX12" s="189"/>
      <c r="EY12" s="189"/>
      <c r="EZ12" s="189"/>
      <c r="FA12" s="189"/>
      <c r="FB12" s="189"/>
      <c r="FC12" s="189"/>
      <c r="FD12" s="189"/>
      <c r="FE12" s="189"/>
      <c r="FF12" s="189"/>
      <c r="FG12" s="189"/>
      <c r="FH12" s="189"/>
      <c r="FI12" s="189"/>
      <c r="FJ12" s="189"/>
      <c r="FK12" s="189"/>
      <c r="FL12" s="189"/>
      <c r="FM12" s="189"/>
      <c r="FN12" s="189"/>
      <c r="FO12" s="189"/>
      <c r="FP12" s="189"/>
      <c r="FQ12" s="189"/>
      <c r="FR12" s="189"/>
    </row>
    <row r="13" spans="1:174" s="116" customFormat="1" ht="16.95" customHeight="1" x14ac:dyDescent="0.3">
      <c r="B13" s="120" t="s">
        <v>15</v>
      </c>
      <c r="C13" s="189">
        <v>9</v>
      </c>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89"/>
      <c r="DV13" s="189"/>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row>
    <row r="14" spans="1:174" s="116" customFormat="1" ht="16.95" customHeight="1" x14ac:dyDescent="0.3">
      <c r="B14" s="120" t="s">
        <v>16</v>
      </c>
      <c r="C14" s="189">
        <v>9</v>
      </c>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c r="CL14" s="189"/>
      <c r="CM14" s="189"/>
      <c r="CN14" s="189"/>
      <c r="CO14" s="189"/>
      <c r="CP14" s="189"/>
      <c r="CQ14" s="189"/>
      <c r="CR14" s="189"/>
      <c r="CS14" s="189"/>
      <c r="CT14" s="189"/>
      <c r="CU14" s="189"/>
      <c r="CV14" s="189"/>
      <c r="CW14" s="189"/>
      <c r="CX14" s="189"/>
      <c r="CY14" s="189"/>
      <c r="CZ14" s="189"/>
      <c r="DA14" s="189"/>
      <c r="DB14" s="189"/>
      <c r="DC14" s="189"/>
      <c r="DD14" s="189"/>
      <c r="DE14" s="189"/>
      <c r="DF14" s="189"/>
      <c r="DG14" s="189"/>
      <c r="DH14" s="189"/>
      <c r="DI14" s="189"/>
      <c r="DJ14" s="189"/>
      <c r="DK14" s="189"/>
      <c r="DL14" s="189"/>
      <c r="DM14" s="189"/>
      <c r="DN14" s="189"/>
      <c r="DO14" s="189"/>
      <c r="DP14" s="189"/>
      <c r="DQ14" s="189"/>
      <c r="DR14" s="189"/>
      <c r="DS14" s="189"/>
      <c r="DT14" s="189"/>
      <c r="DU14" s="189"/>
      <c r="DV14" s="189"/>
      <c r="DW14" s="189"/>
      <c r="DX14" s="189"/>
      <c r="DY14" s="189"/>
      <c r="DZ14" s="189"/>
      <c r="EA14" s="189"/>
      <c r="EB14" s="189"/>
      <c r="EC14" s="189"/>
      <c r="ED14" s="189"/>
      <c r="EE14" s="189"/>
      <c r="EF14" s="189"/>
      <c r="EG14" s="189"/>
      <c r="EH14" s="189"/>
      <c r="EI14" s="189"/>
      <c r="EJ14" s="189"/>
      <c r="EK14" s="189"/>
      <c r="EL14" s="189"/>
      <c r="EM14" s="189"/>
      <c r="EN14" s="189"/>
      <c r="EO14" s="189"/>
      <c r="EP14" s="189"/>
      <c r="EQ14" s="189"/>
      <c r="ER14" s="189"/>
      <c r="ES14" s="189"/>
      <c r="ET14" s="189"/>
      <c r="EU14" s="189"/>
      <c r="EV14" s="189"/>
      <c r="EW14" s="189"/>
      <c r="EX14" s="189"/>
      <c r="EY14" s="189"/>
      <c r="EZ14" s="189"/>
      <c r="FA14" s="189"/>
      <c r="FB14" s="189"/>
      <c r="FC14" s="189"/>
      <c r="FD14" s="189"/>
      <c r="FE14" s="189"/>
      <c r="FF14" s="189"/>
      <c r="FG14" s="189"/>
      <c r="FH14" s="189"/>
      <c r="FI14" s="189"/>
      <c r="FJ14" s="189"/>
      <c r="FK14" s="189"/>
      <c r="FL14" s="189"/>
      <c r="FM14" s="189"/>
      <c r="FN14" s="189"/>
      <c r="FO14" s="189"/>
      <c r="FP14" s="189"/>
      <c r="FQ14" s="189"/>
      <c r="FR14" s="189"/>
    </row>
    <row r="15" spans="1:174" s="116" customFormat="1" ht="16.95" customHeight="1" x14ac:dyDescent="0.3">
      <c r="B15" s="120" t="s">
        <v>53</v>
      </c>
      <c r="C15" s="190">
        <f>SUM(C7:C14)</f>
        <v>69</v>
      </c>
      <c r="D15" s="190">
        <f t="shared" ref="D15:BO15" si="4">SUM(D7:D14)</f>
        <v>0</v>
      </c>
      <c r="E15" s="190">
        <f t="shared" si="4"/>
        <v>0</v>
      </c>
      <c r="F15" s="190">
        <f t="shared" si="4"/>
        <v>0</v>
      </c>
      <c r="G15" s="190">
        <f t="shared" si="4"/>
        <v>0</v>
      </c>
      <c r="H15" s="190">
        <f t="shared" si="4"/>
        <v>0</v>
      </c>
      <c r="I15" s="190">
        <f t="shared" si="4"/>
        <v>0</v>
      </c>
      <c r="J15" s="190">
        <f t="shared" si="4"/>
        <v>0</v>
      </c>
      <c r="K15" s="190">
        <f t="shared" si="4"/>
        <v>0</v>
      </c>
      <c r="L15" s="190">
        <f t="shared" si="4"/>
        <v>0</v>
      </c>
      <c r="M15" s="190">
        <f t="shared" si="4"/>
        <v>0</v>
      </c>
      <c r="N15" s="190">
        <f t="shared" si="4"/>
        <v>0</v>
      </c>
      <c r="O15" s="190">
        <f t="shared" si="4"/>
        <v>0</v>
      </c>
      <c r="P15" s="190">
        <f t="shared" si="4"/>
        <v>0</v>
      </c>
      <c r="Q15" s="190">
        <f t="shared" si="4"/>
        <v>0</v>
      </c>
      <c r="R15" s="190">
        <f t="shared" si="4"/>
        <v>0</v>
      </c>
      <c r="S15" s="190">
        <f t="shared" si="4"/>
        <v>0</v>
      </c>
      <c r="T15" s="190">
        <f t="shared" si="4"/>
        <v>0</v>
      </c>
      <c r="U15" s="190">
        <f t="shared" si="4"/>
        <v>0</v>
      </c>
      <c r="V15" s="190">
        <f t="shared" si="4"/>
        <v>0</v>
      </c>
      <c r="W15" s="190">
        <f t="shared" si="4"/>
        <v>0</v>
      </c>
      <c r="X15" s="190">
        <f t="shared" si="4"/>
        <v>0</v>
      </c>
      <c r="Y15" s="190">
        <f t="shared" si="4"/>
        <v>0</v>
      </c>
      <c r="Z15" s="190">
        <f t="shared" si="4"/>
        <v>0</v>
      </c>
      <c r="AA15" s="190">
        <f t="shared" si="4"/>
        <v>0</v>
      </c>
      <c r="AB15" s="190">
        <f t="shared" si="4"/>
        <v>0</v>
      </c>
      <c r="AC15" s="190">
        <f t="shared" si="4"/>
        <v>0</v>
      </c>
      <c r="AD15" s="190">
        <f t="shared" si="4"/>
        <v>0</v>
      </c>
      <c r="AE15" s="190">
        <f t="shared" si="4"/>
        <v>0</v>
      </c>
      <c r="AF15" s="190">
        <f t="shared" si="4"/>
        <v>0</v>
      </c>
      <c r="AG15" s="190">
        <f t="shared" si="4"/>
        <v>0</v>
      </c>
      <c r="AH15" s="190">
        <f t="shared" si="4"/>
        <v>0</v>
      </c>
      <c r="AI15" s="190">
        <f t="shared" si="4"/>
        <v>0</v>
      </c>
      <c r="AJ15" s="190">
        <f t="shared" si="4"/>
        <v>0</v>
      </c>
      <c r="AK15" s="190">
        <f t="shared" si="4"/>
        <v>0</v>
      </c>
      <c r="AL15" s="190">
        <f t="shared" si="4"/>
        <v>0</v>
      </c>
      <c r="AM15" s="190">
        <f t="shared" si="4"/>
        <v>0</v>
      </c>
      <c r="AN15" s="190">
        <f t="shared" si="4"/>
        <v>0</v>
      </c>
      <c r="AO15" s="190">
        <f t="shared" si="4"/>
        <v>0</v>
      </c>
      <c r="AP15" s="190">
        <f t="shared" si="4"/>
        <v>0</v>
      </c>
      <c r="AQ15" s="190">
        <f t="shared" si="4"/>
        <v>0</v>
      </c>
      <c r="AR15" s="190">
        <f t="shared" si="4"/>
        <v>0</v>
      </c>
      <c r="AS15" s="190">
        <f t="shared" si="4"/>
        <v>0</v>
      </c>
      <c r="AT15" s="190">
        <f t="shared" si="4"/>
        <v>0</v>
      </c>
      <c r="AU15" s="190">
        <f t="shared" si="4"/>
        <v>0</v>
      </c>
      <c r="AV15" s="190">
        <f t="shared" si="4"/>
        <v>0</v>
      </c>
      <c r="AW15" s="190">
        <f t="shared" si="4"/>
        <v>0</v>
      </c>
      <c r="AX15" s="190">
        <f t="shared" si="4"/>
        <v>0</v>
      </c>
      <c r="AY15" s="190">
        <f t="shared" si="4"/>
        <v>0</v>
      </c>
      <c r="AZ15" s="190">
        <f t="shared" si="4"/>
        <v>0</v>
      </c>
      <c r="BA15" s="190">
        <f t="shared" si="4"/>
        <v>0</v>
      </c>
      <c r="BB15" s="190">
        <f t="shared" si="4"/>
        <v>0</v>
      </c>
      <c r="BC15" s="190">
        <f t="shared" si="4"/>
        <v>0</v>
      </c>
      <c r="BD15" s="190">
        <f t="shared" si="4"/>
        <v>0</v>
      </c>
      <c r="BE15" s="190">
        <f t="shared" si="4"/>
        <v>0</v>
      </c>
      <c r="BF15" s="190">
        <f t="shared" si="4"/>
        <v>0</v>
      </c>
      <c r="BG15" s="190">
        <f t="shared" si="4"/>
        <v>0</v>
      </c>
      <c r="BH15" s="190">
        <f t="shared" si="4"/>
        <v>0</v>
      </c>
      <c r="BI15" s="190">
        <f t="shared" si="4"/>
        <v>0</v>
      </c>
      <c r="BJ15" s="190">
        <f t="shared" si="4"/>
        <v>0</v>
      </c>
      <c r="BK15" s="190">
        <f t="shared" si="4"/>
        <v>0</v>
      </c>
      <c r="BL15" s="190">
        <f t="shared" si="4"/>
        <v>0</v>
      </c>
      <c r="BM15" s="190">
        <f t="shared" si="4"/>
        <v>0</v>
      </c>
      <c r="BN15" s="190">
        <f t="shared" si="4"/>
        <v>0</v>
      </c>
      <c r="BO15" s="190">
        <f t="shared" si="4"/>
        <v>0</v>
      </c>
      <c r="BP15" s="190">
        <f t="shared" ref="BP15:CN15" si="5">SUM(BP7:BP14)</f>
        <v>0</v>
      </c>
      <c r="BQ15" s="190">
        <f t="shared" si="5"/>
        <v>0</v>
      </c>
      <c r="BR15" s="190">
        <f t="shared" si="5"/>
        <v>0</v>
      </c>
      <c r="BS15" s="190">
        <f t="shared" si="5"/>
        <v>0</v>
      </c>
      <c r="BT15" s="190">
        <f t="shared" si="5"/>
        <v>0</v>
      </c>
      <c r="BU15" s="190">
        <f t="shared" si="5"/>
        <v>0</v>
      </c>
      <c r="BV15" s="190">
        <f t="shared" si="5"/>
        <v>0</v>
      </c>
      <c r="BW15" s="190">
        <f t="shared" si="5"/>
        <v>0</v>
      </c>
      <c r="BX15" s="190">
        <f t="shared" si="5"/>
        <v>0</v>
      </c>
      <c r="BY15" s="190">
        <f t="shared" si="5"/>
        <v>0</v>
      </c>
      <c r="BZ15" s="190">
        <f t="shared" si="5"/>
        <v>0</v>
      </c>
      <c r="CA15" s="190">
        <f t="shared" si="5"/>
        <v>0</v>
      </c>
      <c r="CB15" s="190">
        <f t="shared" si="5"/>
        <v>0</v>
      </c>
      <c r="CC15" s="190">
        <f t="shared" si="5"/>
        <v>0</v>
      </c>
      <c r="CD15" s="190">
        <f t="shared" si="5"/>
        <v>0</v>
      </c>
      <c r="CE15" s="190">
        <f t="shared" si="5"/>
        <v>0</v>
      </c>
      <c r="CF15" s="190">
        <f t="shared" si="5"/>
        <v>0</v>
      </c>
      <c r="CG15" s="190">
        <f t="shared" si="5"/>
        <v>0</v>
      </c>
      <c r="CH15" s="190">
        <f t="shared" si="5"/>
        <v>0</v>
      </c>
      <c r="CI15" s="190">
        <f t="shared" si="5"/>
        <v>0</v>
      </c>
      <c r="CJ15" s="190">
        <f t="shared" si="5"/>
        <v>0</v>
      </c>
      <c r="CK15" s="190">
        <f t="shared" si="5"/>
        <v>0</v>
      </c>
      <c r="CL15" s="190">
        <f t="shared" si="5"/>
        <v>0</v>
      </c>
      <c r="CM15" s="190">
        <f t="shared" si="5"/>
        <v>0</v>
      </c>
      <c r="CN15" s="190">
        <f t="shared" si="5"/>
        <v>0</v>
      </c>
      <c r="CO15" s="190">
        <f t="shared" ref="CO15:EA15" si="6">SUM(CO7:CO14)</f>
        <v>0</v>
      </c>
      <c r="CP15" s="190">
        <f t="shared" si="6"/>
        <v>0</v>
      </c>
      <c r="CQ15" s="190">
        <f t="shared" si="6"/>
        <v>0</v>
      </c>
      <c r="CR15" s="190">
        <f t="shared" si="6"/>
        <v>0</v>
      </c>
      <c r="CS15" s="190">
        <f t="shared" si="6"/>
        <v>0</v>
      </c>
      <c r="CT15" s="190">
        <f t="shared" si="6"/>
        <v>0</v>
      </c>
      <c r="CU15" s="190">
        <f t="shared" si="6"/>
        <v>0</v>
      </c>
      <c r="CV15" s="190">
        <f t="shared" si="6"/>
        <v>0</v>
      </c>
      <c r="CW15" s="190">
        <f t="shared" si="6"/>
        <v>0</v>
      </c>
      <c r="CX15" s="190">
        <f t="shared" si="6"/>
        <v>0</v>
      </c>
      <c r="CY15" s="190">
        <f t="shared" si="6"/>
        <v>0</v>
      </c>
      <c r="CZ15" s="190">
        <f t="shared" si="6"/>
        <v>0</v>
      </c>
      <c r="DA15" s="190">
        <f t="shared" si="6"/>
        <v>0</v>
      </c>
      <c r="DB15" s="190">
        <f t="shared" si="6"/>
        <v>0</v>
      </c>
      <c r="DC15" s="190">
        <f t="shared" si="6"/>
        <v>0</v>
      </c>
      <c r="DD15" s="190">
        <f t="shared" si="6"/>
        <v>0</v>
      </c>
      <c r="DE15" s="190">
        <f t="shared" si="6"/>
        <v>0</v>
      </c>
      <c r="DF15" s="190">
        <f t="shared" si="6"/>
        <v>0</v>
      </c>
      <c r="DG15" s="190">
        <f t="shared" si="6"/>
        <v>0</v>
      </c>
      <c r="DH15" s="190">
        <f t="shared" si="6"/>
        <v>0</v>
      </c>
      <c r="DI15" s="190">
        <f t="shared" si="6"/>
        <v>0</v>
      </c>
      <c r="DJ15" s="190">
        <f t="shared" si="6"/>
        <v>0</v>
      </c>
      <c r="DK15" s="190">
        <f t="shared" si="6"/>
        <v>0</v>
      </c>
      <c r="DL15" s="190">
        <f t="shared" si="6"/>
        <v>0</v>
      </c>
      <c r="DM15" s="190">
        <f t="shared" si="6"/>
        <v>0</v>
      </c>
      <c r="DN15" s="190">
        <f t="shared" si="6"/>
        <v>0</v>
      </c>
      <c r="DO15" s="190">
        <f t="shared" si="6"/>
        <v>0</v>
      </c>
      <c r="DP15" s="190">
        <f t="shared" si="6"/>
        <v>0</v>
      </c>
      <c r="DQ15" s="190">
        <f t="shared" si="6"/>
        <v>0</v>
      </c>
      <c r="DR15" s="190">
        <f t="shared" si="6"/>
        <v>0</v>
      </c>
      <c r="DS15" s="190">
        <f t="shared" si="6"/>
        <v>0</v>
      </c>
      <c r="DT15" s="190">
        <f t="shared" si="6"/>
        <v>0</v>
      </c>
      <c r="DU15" s="190">
        <f t="shared" si="6"/>
        <v>0</v>
      </c>
      <c r="DV15" s="190">
        <f t="shared" si="6"/>
        <v>0</v>
      </c>
      <c r="DW15" s="190">
        <f t="shared" si="6"/>
        <v>0</v>
      </c>
      <c r="DX15" s="190">
        <f t="shared" si="6"/>
        <v>0</v>
      </c>
      <c r="DY15" s="190">
        <f t="shared" si="6"/>
        <v>0</v>
      </c>
      <c r="DZ15" s="190">
        <f t="shared" si="6"/>
        <v>0</v>
      </c>
      <c r="EA15" s="190">
        <f t="shared" si="6"/>
        <v>0</v>
      </c>
      <c r="EB15" s="190">
        <f t="shared" ref="EB15:FR15" si="7">SUM(EB7:EB14)</f>
        <v>0</v>
      </c>
      <c r="EC15" s="190">
        <f t="shared" si="7"/>
        <v>0</v>
      </c>
      <c r="ED15" s="190">
        <f t="shared" si="7"/>
        <v>0</v>
      </c>
      <c r="EE15" s="190">
        <f t="shared" si="7"/>
        <v>0</v>
      </c>
      <c r="EF15" s="190">
        <f t="shared" si="7"/>
        <v>0</v>
      </c>
      <c r="EG15" s="190">
        <f t="shared" si="7"/>
        <v>0</v>
      </c>
      <c r="EH15" s="190">
        <f t="shared" si="7"/>
        <v>0</v>
      </c>
      <c r="EI15" s="190">
        <f t="shared" si="7"/>
        <v>0</v>
      </c>
      <c r="EJ15" s="190">
        <f t="shared" si="7"/>
        <v>0</v>
      </c>
      <c r="EK15" s="190">
        <f t="shared" si="7"/>
        <v>0</v>
      </c>
      <c r="EL15" s="190">
        <f t="shared" si="7"/>
        <v>0</v>
      </c>
      <c r="EM15" s="190">
        <f t="shared" si="7"/>
        <v>0</v>
      </c>
      <c r="EN15" s="190">
        <f t="shared" si="7"/>
        <v>0</v>
      </c>
      <c r="EO15" s="190">
        <f t="shared" si="7"/>
        <v>0</v>
      </c>
      <c r="EP15" s="190">
        <f t="shared" si="7"/>
        <v>0</v>
      </c>
      <c r="EQ15" s="190">
        <f t="shared" si="7"/>
        <v>0</v>
      </c>
      <c r="ER15" s="190">
        <f t="shared" si="7"/>
        <v>0</v>
      </c>
      <c r="ES15" s="190">
        <f t="shared" si="7"/>
        <v>0</v>
      </c>
      <c r="ET15" s="190">
        <f t="shared" si="7"/>
        <v>0</v>
      </c>
      <c r="EU15" s="190">
        <f t="shared" si="7"/>
        <v>0</v>
      </c>
      <c r="EV15" s="190">
        <f t="shared" si="7"/>
        <v>0</v>
      </c>
      <c r="EW15" s="190">
        <f t="shared" si="7"/>
        <v>0</v>
      </c>
      <c r="EX15" s="190">
        <f t="shared" si="7"/>
        <v>0</v>
      </c>
      <c r="EY15" s="190">
        <f t="shared" si="7"/>
        <v>0</v>
      </c>
      <c r="EZ15" s="190">
        <f t="shared" si="7"/>
        <v>0</v>
      </c>
      <c r="FA15" s="190">
        <f t="shared" si="7"/>
        <v>0</v>
      </c>
      <c r="FB15" s="190">
        <f t="shared" si="7"/>
        <v>0</v>
      </c>
      <c r="FC15" s="190">
        <f t="shared" si="7"/>
        <v>0</v>
      </c>
      <c r="FD15" s="190">
        <f t="shared" si="7"/>
        <v>0</v>
      </c>
      <c r="FE15" s="190">
        <f t="shared" si="7"/>
        <v>0</v>
      </c>
      <c r="FF15" s="190">
        <f t="shared" si="7"/>
        <v>0</v>
      </c>
      <c r="FG15" s="190">
        <f t="shared" si="7"/>
        <v>0</v>
      </c>
      <c r="FH15" s="190">
        <f t="shared" si="7"/>
        <v>0</v>
      </c>
      <c r="FI15" s="190">
        <f t="shared" si="7"/>
        <v>0</v>
      </c>
      <c r="FJ15" s="190">
        <f t="shared" si="7"/>
        <v>0</v>
      </c>
      <c r="FK15" s="190">
        <f t="shared" si="7"/>
        <v>0</v>
      </c>
      <c r="FL15" s="190">
        <f t="shared" si="7"/>
        <v>0</v>
      </c>
      <c r="FM15" s="190">
        <f t="shared" si="7"/>
        <v>0</v>
      </c>
      <c r="FN15" s="190">
        <f t="shared" si="7"/>
        <v>0</v>
      </c>
      <c r="FO15" s="190">
        <f t="shared" si="7"/>
        <v>0</v>
      </c>
      <c r="FP15" s="190">
        <f t="shared" si="7"/>
        <v>0</v>
      </c>
      <c r="FQ15" s="190">
        <f t="shared" si="7"/>
        <v>0</v>
      </c>
      <c r="FR15" s="190">
        <f t="shared" si="7"/>
        <v>0</v>
      </c>
    </row>
    <row r="16" spans="1:174" s="116" customFormat="1" ht="16.95" customHeight="1" x14ac:dyDescent="0.3">
      <c r="B16" s="120" t="s">
        <v>54</v>
      </c>
      <c r="C16" s="191">
        <f>C15/80</f>
        <v>0.86250000000000004</v>
      </c>
      <c r="D16" s="191">
        <f t="shared" ref="D16:BO16" si="8">D15/80</f>
        <v>0</v>
      </c>
      <c r="E16" s="191">
        <f t="shared" si="8"/>
        <v>0</v>
      </c>
      <c r="F16" s="191">
        <f t="shared" si="8"/>
        <v>0</v>
      </c>
      <c r="G16" s="191">
        <f t="shared" si="8"/>
        <v>0</v>
      </c>
      <c r="H16" s="191">
        <f t="shared" si="8"/>
        <v>0</v>
      </c>
      <c r="I16" s="191">
        <f t="shared" si="8"/>
        <v>0</v>
      </c>
      <c r="J16" s="191">
        <f t="shared" si="8"/>
        <v>0</v>
      </c>
      <c r="K16" s="191">
        <f t="shared" si="8"/>
        <v>0</v>
      </c>
      <c r="L16" s="191">
        <f t="shared" si="8"/>
        <v>0</v>
      </c>
      <c r="M16" s="191">
        <f t="shared" si="8"/>
        <v>0</v>
      </c>
      <c r="N16" s="191">
        <f t="shared" si="8"/>
        <v>0</v>
      </c>
      <c r="O16" s="191">
        <f t="shared" si="8"/>
        <v>0</v>
      </c>
      <c r="P16" s="191">
        <f t="shared" si="8"/>
        <v>0</v>
      </c>
      <c r="Q16" s="191">
        <f t="shared" si="8"/>
        <v>0</v>
      </c>
      <c r="R16" s="191">
        <f t="shared" si="8"/>
        <v>0</v>
      </c>
      <c r="S16" s="191">
        <f t="shared" si="8"/>
        <v>0</v>
      </c>
      <c r="T16" s="191">
        <f t="shared" si="8"/>
        <v>0</v>
      </c>
      <c r="U16" s="191">
        <f t="shared" si="8"/>
        <v>0</v>
      </c>
      <c r="V16" s="191">
        <f t="shared" si="8"/>
        <v>0</v>
      </c>
      <c r="W16" s="191">
        <f t="shared" si="8"/>
        <v>0</v>
      </c>
      <c r="X16" s="191">
        <f t="shared" si="8"/>
        <v>0</v>
      </c>
      <c r="Y16" s="191">
        <f t="shared" si="8"/>
        <v>0</v>
      </c>
      <c r="Z16" s="191">
        <f t="shared" si="8"/>
        <v>0</v>
      </c>
      <c r="AA16" s="191">
        <f t="shared" si="8"/>
        <v>0</v>
      </c>
      <c r="AB16" s="191">
        <f t="shared" si="8"/>
        <v>0</v>
      </c>
      <c r="AC16" s="191">
        <f t="shared" si="8"/>
        <v>0</v>
      </c>
      <c r="AD16" s="191">
        <f t="shared" si="8"/>
        <v>0</v>
      </c>
      <c r="AE16" s="191">
        <f t="shared" si="8"/>
        <v>0</v>
      </c>
      <c r="AF16" s="191">
        <f t="shared" si="8"/>
        <v>0</v>
      </c>
      <c r="AG16" s="191">
        <f t="shared" si="8"/>
        <v>0</v>
      </c>
      <c r="AH16" s="191">
        <f t="shared" si="8"/>
        <v>0</v>
      </c>
      <c r="AI16" s="191">
        <f t="shared" si="8"/>
        <v>0</v>
      </c>
      <c r="AJ16" s="191">
        <f t="shared" si="8"/>
        <v>0</v>
      </c>
      <c r="AK16" s="191">
        <f t="shared" si="8"/>
        <v>0</v>
      </c>
      <c r="AL16" s="191">
        <f t="shared" si="8"/>
        <v>0</v>
      </c>
      <c r="AM16" s="191">
        <f t="shared" si="8"/>
        <v>0</v>
      </c>
      <c r="AN16" s="191">
        <f t="shared" si="8"/>
        <v>0</v>
      </c>
      <c r="AO16" s="191">
        <f t="shared" si="8"/>
        <v>0</v>
      </c>
      <c r="AP16" s="191">
        <f t="shared" si="8"/>
        <v>0</v>
      </c>
      <c r="AQ16" s="191">
        <f t="shared" si="8"/>
        <v>0</v>
      </c>
      <c r="AR16" s="191">
        <f t="shared" si="8"/>
        <v>0</v>
      </c>
      <c r="AS16" s="191">
        <f t="shared" si="8"/>
        <v>0</v>
      </c>
      <c r="AT16" s="191">
        <f t="shared" si="8"/>
        <v>0</v>
      </c>
      <c r="AU16" s="191">
        <f t="shared" si="8"/>
        <v>0</v>
      </c>
      <c r="AV16" s="191">
        <f t="shared" si="8"/>
        <v>0</v>
      </c>
      <c r="AW16" s="191">
        <f t="shared" si="8"/>
        <v>0</v>
      </c>
      <c r="AX16" s="191">
        <f t="shared" si="8"/>
        <v>0</v>
      </c>
      <c r="AY16" s="191">
        <f t="shared" si="8"/>
        <v>0</v>
      </c>
      <c r="AZ16" s="191">
        <f t="shared" si="8"/>
        <v>0</v>
      </c>
      <c r="BA16" s="191">
        <f t="shared" si="8"/>
        <v>0</v>
      </c>
      <c r="BB16" s="191">
        <f t="shared" si="8"/>
        <v>0</v>
      </c>
      <c r="BC16" s="191">
        <f t="shared" si="8"/>
        <v>0</v>
      </c>
      <c r="BD16" s="191">
        <f t="shared" si="8"/>
        <v>0</v>
      </c>
      <c r="BE16" s="191">
        <f t="shared" si="8"/>
        <v>0</v>
      </c>
      <c r="BF16" s="191">
        <f t="shared" si="8"/>
        <v>0</v>
      </c>
      <c r="BG16" s="191">
        <f t="shared" si="8"/>
        <v>0</v>
      </c>
      <c r="BH16" s="191">
        <f t="shared" si="8"/>
        <v>0</v>
      </c>
      <c r="BI16" s="191">
        <f t="shared" si="8"/>
        <v>0</v>
      </c>
      <c r="BJ16" s="191">
        <f t="shared" si="8"/>
        <v>0</v>
      </c>
      <c r="BK16" s="191">
        <f t="shared" si="8"/>
        <v>0</v>
      </c>
      <c r="BL16" s="191">
        <f t="shared" si="8"/>
        <v>0</v>
      </c>
      <c r="BM16" s="191">
        <f t="shared" si="8"/>
        <v>0</v>
      </c>
      <c r="BN16" s="191">
        <f t="shared" si="8"/>
        <v>0</v>
      </c>
      <c r="BO16" s="191">
        <f t="shared" si="8"/>
        <v>0</v>
      </c>
      <c r="BP16" s="191">
        <f t="shared" ref="BP16:EA16" si="9">BP15/80</f>
        <v>0</v>
      </c>
      <c r="BQ16" s="191">
        <f t="shared" si="9"/>
        <v>0</v>
      </c>
      <c r="BR16" s="191">
        <f t="shared" si="9"/>
        <v>0</v>
      </c>
      <c r="BS16" s="191">
        <f t="shared" si="9"/>
        <v>0</v>
      </c>
      <c r="BT16" s="191">
        <f t="shared" si="9"/>
        <v>0</v>
      </c>
      <c r="BU16" s="191">
        <f t="shared" si="9"/>
        <v>0</v>
      </c>
      <c r="BV16" s="191">
        <f t="shared" si="9"/>
        <v>0</v>
      </c>
      <c r="BW16" s="191">
        <f t="shared" si="9"/>
        <v>0</v>
      </c>
      <c r="BX16" s="191">
        <f t="shared" si="9"/>
        <v>0</v>
      </c>
      <c r="BY16" s="191">
        <f t="shared" si="9"/>
        <v>0</v>
      </c>
      <c r="BZ16" s="191">
        <f t="shared" si="9"/>
        <v>0</v>
      </c>
      <c r="CA16" s="191">
        <f t="shared" si="9"/>
        <v>0</v>
      </c>
      <c r="CB16" s="191">
        <f t="shared" si="9"/>
        <v>0</v>
      </c>
      <c r="CC16" s="191">
        <f t="shared" si="9"/>
        <v>0</v>
      </c>
      <c r="CD16" s="191">
        <f t="shared" si="9"/>
        <v>0</v>
      </c>
      <c r="CE16" s="191">
        <f t="shared" si="9"/>
        <v>0</v>
      </c>
      <c r="CF16" s="191">
        <f t="shared" si="9"/>
        <v>0</v>
      </c>
      <c r="CG16" s="191">
        <f t="shared" si="9"/>
        <v>0</v>
      </c>
      <c r="CH16" s="191">
        <f t="shared" si="9"/>
        <v>0</v>
      </c>
      <c r="CI16" s="191">
        <f t="shared" si="9"/>
        <v>0</v>
      </c>
      <c r="CJ16" s="191">
        <f t="shared" si="9"/>
        <v>0</v>
      </c>
      <c r="CK16" s="191">
        <f t="shared" si="9"/>
        <v>0</v>
      </c>
      <c r="CL16" s="191">
        <f t="shared" si="9"/>
        <v>0</v>
      </c>
      <c r="CM16" s="191">
        <f t="shared" si="9"/>
        <v>0</v>
      </c>
      <c r="CN16" s="191">
        <f t="shared" si="9"/>
        <v>0</v>
      </c>
      <c r="CO16" s="191">
        <f t="shared" si="9"/>
        <v>0</v>
      </c>
      <c r="CP16" s="191">
        <f t="shared" si="9"/>
        <v>0</v>
      </c>
      <c r="CQ16" s="191">
        <f t="shared" si="9"/>
        <v>0</v>
      </c>
      <c r="CR16" s="191">
        <f t="shared" si="9"/>
        <v>0</v>
      </c>
      <c r="CS16" s="191">
        <f t="shared" si="9"/>
        <v>0</v>
      </c>
      <c r="CT16" s="191">
        <f t="shared" si="9"/>
        <v>0</v>
      </c>
      <c r="CU16" s="191">
        <f t="shared" si="9"/>
        <v>0</v>
      </c>
      <c r="CV16" s="191">
        <f t="shared" si="9"/>
        <v>0</v>
      </c>
      <c r="CW16" s="191">
        <f t="shared" si="9"/>
        <v>0</v>
      </c>
      <c r="CX16" s="191">
        <f t="shared" si="9"/>
        <v>0</v>
      </c>
      <c r="CY16" s="191">
        <f t="shared" si="9"/>
        <v>0</v>
      </c>
      <c r="CZ16" s="191">
        <f t="shared" si="9"/>
        <v>0</v>
      </c>
      <c r="DA16" s="191">
        <f t="shared" si="9"/>
        <v>0</v>
      </c>
      <c r="DB16" s="191">
        <f t="shared" si="9"/>
        <v>0</v>
      </c>
      <c r="DC16" s="191">
        <f t="shared" si="9"/>
        <v>0</v>
      </c>
      <c r="DD16" s="191">
        <f t="shared" si="9"/>
        <v>0</v>
      </c>
      <c r="DE16" s="191">
        <f t="shared" si="9"/>
        <v>0</v>
      </c>
      <c r="DF16" s="191">
        <f t="shared" si="9"/>
        <v>0</v>
      </c>
      <c r="DG16" s="191">
        <f t="shared" si="9"/>
        <v>0</v>
      </c>
      <c r="DH16" s="191">
        <f t="shared" si="9"/>
        <v>0</v>
      </c>
      <c r="DI16" s="191">
        <f t="shared" si="9"/>
        <v>0</v>
      </c>
      <c r="DJ16" s="191">
        <f t="shared" si="9"/>
        <v>0</v>
      </c>
      <c r="DK16" s="191">
        <f t="shared" si="9"/>
        <v>0</v>
      </c>
      <c r="DL16" s="191">
        <f t="shared" si="9"/>
        <v>0</v>
      </c>
      <c r="DM16" s="191">
        <f t="shared" si="9"/>
        <v>0</v>
      </c>
      <c r="DN16" s="191">
        <f t="shared" si="9"/>
        <v>0</v>
      </c>
      <c r="DO16" s="191">
        <f t="shared" si="9"/>
        <v>0</v>
      </c>
      <c r="DP16" s="191">
        <f t="shared" si="9"/>
        <v>0</v>
      </c>
      <c r="DQ16" s="191">
        <f t="shared" si="9"/>
        <v>0</v>
      </c>
      <c r="DR16" s="191">
        <f t="shared" si="9"/>
        <v>0</v>
      </c>
      <c r="DS16" s="191">
        <f t="shared" si="9"/>
        <v>0</v>
      </c>
      <c r="DT16" s="191">
        <f t="shared" si="9"/>
        <v>0</v>
      </c>
      <c r="DU16" s="191">
        <f t="shared" si="9"/>
        <v>0</v>
      </c>
      <c r="DV16" s="191">
        <f t="shared" si="9"/>
        <v>0</v>
      </c>
      <c r="DW16" s="191">
        <f t="shared" si="9"/>
        <v>0</v>
      </c>
      <c r="DX16" s="191">
        <f t="shared" si="9"/>
        <v>0</v>
      </c>
      <c r="DY16" s="191">
        <f t="shared" si="9"/>
        <v>0</v>
      </c>
      <c r="DZ16" s="191">
        <f t="shared" si="9"/>
        <v>0</v>
      </c>
      <c r="EA16" s="191">
        <f t="shared" si="9"/>
        <v>0</v>
      </c>
      <c r="EB16" s="191">
        <f t="shared" ref="EB16:FR16" si="10">EB15/80</f>
        <v>0</v>
      </c>
      <c r="EC16" s="191">
        <f t="shared" si="10"/>
        <v>0</v>
      </c>
      <c r="ED16" s="191">
        <f t="shared" si="10"/>
        <v>0</v>
      </c>
      <c r="EE16" s="191">
        <f t="shared" si="10"/>
        <v>0</v>
      </c>
      <c r="EF16" s="191">
        <f t="shared" si="10"/>
        <v>0</v>
      </c>
      <c r="EG16" s="191">
        <f t="shared" si="10"/>
        <v>0</v>
      </c>
      <c r="EH16" s="191">
        <f t="shared" si="10"/>
        <v>0</v>
      </c>
      <c r="EI16" s="191">
        <f t="shared" si="10"/>
        <v>0</v>
      </c>
      <c r="EJ16" s="191">
        <f t="shared" si="10"/>
        <v>0</v>
      </c>
      <c r="EK16" s="191">
        <f t="shared" si="10"/>
        <v>0</v>
      </c>
      <c r="EL16" s="191">
        <f t="shared" si="10"/>
        <v>0</v>
      </c>
      <c r="EM16" s="191">
        <f t="shared" si="10"/>
        <v>0</v>
      </c>
      <c r="EN16" s="191">
        <f t="shared" si="10"/>
        <v>0</v>
      </c>
      <c r="EO16" s="191">
        <f t="shared" si="10"/>
        <v>0</v>
      </c>
      <c r="EP16" s="191">
        <f t="shared" si="10"/>
        <v>0</v>
      </c>
      <c r="EQ16" s="191">
        <f t="shared" si="10"/>
        <v>0</v>
      </c>
      <c r="ER16" s="191">
        <f t="shared" si="10"/>
        <v>0</v>
      </c>
      <c r="ES16" s="191">
        <f t="shared" si="10"/>
        <v>0</v>
      </c>
      <c r="ET16" s="191">
        <f t="shared" si="10"/>
        <v>0</v>
      </c>
      <c r="EU16" s="191">
        <f t="shared" si="10"/>
        <v>0</v>
      </c>
      <c r="EV16" s="191">
        <f t="shared" si="10"/>
        <v>0</v>
      </c>
      <c r="EW16" s="191">
        <f t="shared" si="10"/>
        <v>0</v>
      </c>
      <c r="EX16" s="191">
        <f t="shared" si="10"/>
        <v>0</v>
      </c>
      <c r="EY16" s="191">
        <f t="shared" si="10"/>
        <v>0</v>
      </c>
      <c r="EZ16" s="191">
        <f t="shared" si="10"/>
        <v>0</v>
      </c>
      <c r="FA16" s="191">
        <f t="shared" si="10"/>
        <v>0</v>
      </c>
      <c r="FB16" s="191">
        <f t="shared" si="10"/>
        <v>0</v>
      </c>
      <c r="FC16" s="191">
        <f t="shared" si="10"/>
        <v>0</v>
      </c>
      <c r="FD16" s="191">
        <f t="shared" si="10"/>
        <v>0</v>
      </c>
      <c r="FE16" s="191">
        <f t="shared" si="10"/>
        <v>0</v>
      </c>
      <c r="FF16" s="191">
        <f t="shared" si="10"/>
        <v>0</v>
      </c>
      <c r="FG16" s="191">
        <f t="shared" si="10"/>
        <v>0</v>
      </c>
      <c r="FH16" s="191">
        <f t="shared" si="10"/>
        <v>0</v>
      </c>
      <c r="FI16" s="191">
        <f t="shared" si="10"/>
        <v>0</v>
      </c>
      <c r="FJ16" s="191">
        <f t="shared" si="10"/>
        <v>0</v>
      </c>
      <c r="FK16" s="191">
        <f t="shared" si="10"/>
        <v>0</v>
      </c>
      <c r="FL16" s="191">
        <f t="shared" si="10"/>
        <v>0</v>
      </c>
      <c r="FM16" s="191">
        <f t="shared" si="10"/>
        <v>0</v>
      </c>
      <c r="FN16" s="191">
        <f t="shared" si="10"/>
        <v>0</v>
      </c>
      <c r="FO16" s="191">
        <f t="shared" si="10"/>
        <v>0</v>
      </c>
      <c r="FP16" s="191">
        <f t="shared" si="10"/>
        <v>0</v>
      </c>
      <c r="FQ16" s="191">
        <f t="shared" si="10"/>
        <v>0</v>
      </c>
      <c r="FR16" s="191">
        <f t="shared" si="10"/>
        <v>0</v>
      </c>
    </row>
    <row r="17" spans="1:174" s="116" customFormat="1" ht="16.95" customHeight="1" x14ac:dyDescent="0.3">
      <c r="B17" s="120"/>
      <c r="C17" s="181">
        <f>ROUND(C16*100,0)</f>
        <v>86</v>
      </c>
      <c r="D17" s="181">
        <f t="shared" ref="D17:BO17" si="11">ROUND(D16*100,0)</f>
        <v>0</v>
      </c>
      <c r="E17" s="181">
        <f t="shared" si="11"/>
        <v>0</v>
      </c>
      <c r="F17" s="181">
        <f t="shared" si="11"/>
        <v>0</v>
      </c>
      <c r="G17" s="181">
        <f t="shared" si="11"/>
        <v>0</v>
      </c>
      <c r="H17" s="181">
        <f t="shared" si="11"/>
        <v>0</v>
      </c>
      <c r="I17" s="181">
        <f t="shared" si="11"/>
        <v>0</v>
      </c>
      <c r="J17" s="181">
        <f t="shared" si="11"/>
        <v>0</v>
      </c>
      <c r="K17" s="181">
        <f t="shared" si="11"/>
        <v>0</v>
      </c>
      <c r="L17" s="181">
        <f t="shared" si="11"/>
        <v>0</v>
      </c>
      <c r="M17" s="181">
        <f t="shared" si="11"/>
        <v>0</v>
      </c>
      <c r="N17" s="181">
        <f t="shared" si="11"/>
        <v>0</v>
      </c>
      <c r="O17" s="181">
        <f t="shared" si="11"/>
        <v>0</v>
      </c>
      <c r="P17" s="181">
        <f t="shared" si="11"/>
        <v>0</v>
      </c>
      <c r="Q17" s="181">
        <f t="shared" si="11"/>
        <v>0</v>
      </c>
      <c r="R17" s="181">
        <f t="shared" si="11"/>
        <v>0</v>
      </c>
      <c r="S17" s="181">
        <f t="shared" si="11"/>
        <v>0</v>
      </c>
      <c r="T17" s="181">
        <f t="shared" si="11"/>
        <v>0</v>
      </c>
      <c r="U17" s="181">
        <f t="shared" si="11"/>
        <v>0</v>
      </c>
      <c r="V17" s="181">
        <f t="shared" si="11"/>
        <v>0</v>
      </c>
      <c r="W17" s="181">
        <f t="shared" si="11"/>
        <v>0</v>
      </c>
      <c r="X17" s="181">
        <f t="shared" si="11"/>
        <v>0</v>
      </c>
      <c r="Y17" s="181">
        <f t="shared" si="11"/>
        <v>0</v>
      </c>
      <c r="Z17" s="181">
        <f t="shared" si="11"/>
        <v>0</v>
      </c>
      <c r="AA17" s="181">
        <f t="shared" si="11"/>
        <v>0</v>
      </c>
      <c r="AB17" s="181">
        <f t="shared" si="11"/>
        <v>0</v>
      </c>
      <c r="AC17" s="181">
        <f t="shared" si="11"/>
        <v>0</v>
      </c>
      <c r="AD17" s="181">
        <f t="shared" si="11"/>
        <v>0</v>
      </c>
      <c r="AE17" s="181">
        <f t="shared" si="11"/>
        <v>0</v>
      </c>
      <c r="AF17" s="181">
        <f t="shared" si="11"/>
        <v>0</v>
      </c>
      <c r="AG17" s="181">
        <f t="shared" si="11"/>
        <v>0</v>
      </c>
      <c r="AH17" s="181">
        <f t="shared" si="11"/>
        <v>0</v>
      </c>
      <c r="AI17" s="181">
        <f t="shared" si="11"/>
        <v>0</v>
      </c>
      <c r="AJ17" s="181">
        <f t="shared" si="11"/>
        <v>0</v>
      </c>
      <c r="AK17" s="181">
        <f t="shared" si="11"/>
        <v>0</v>
      </c>
      <c r="AL17" s="181">
        <f t="shared" si="11"/>
        <v>0</v>
      </c>
      <c r="AM17" s="181">
        <f t="shared" si="11"/>
        <v>0</v>
      </c>
      <c r="AN17" s="181">
        <f t="shared" si="11"/>
        <v>0</v>
      </c>
      <c r="AO17" s="181">
        <f t="shared" si="11"/>
        <v>0</v>
      </c>
      <c r="AP17" s="181">
        <f t="shared" si="11"/>
        <v>0</v>
      </c>
      <c r="AQ17" s="181">
        <f t="shared" si="11"/>
        <v>0</v>
      </c>
      <c r="AR17" s="181">
        <f t="shared" si="11"/>
        <v>0</v>
      </c>
      <c r="AS17" s="181">
        <f t="shared" si="11"/>
        <v>0</v>
      </c>
      <c r="AT17" s="181">
        <f t="shared" si="11"/>
        <v>0</v>
      </c>
      <c r="AU17" s="181">
        <f t="shared" si="11"/>
        <v>0</v>
      </c>
      <c r="AV17" s="181">
        <f t="shared" si="11"/>
        <v>0</v>
      </c>
      <c r="AW17" s="181">
        <f t="shared" si="11"/>
        <v>0</v>
      </c>
      <c r="AX17" s="181">
        <f t="shared" si="11"/>
        <v>0</v>
      </c>
      <c r="AY17" s="181">
        <f t="shared" si="11"/>
        <v>0</v>
      </c>
      <c r="AZ17" s="181">
        <f t="shared" si="11"/>
        <v>0</v>
      </c>
      <c r="BA17" s="181">
        <f t="shared" si="11"/>
        <v>0</v>
      </c>
      <c r="BB17" s="181">
        <f t="shared" si="11"/>
        <v>0</v>
      </c>
      <c r="BC17" s="181">
        <f t="shared" si="11"/>
        <v>0</v>
      </c>
      <c r="BD17" s="181">
        <f t="shared" si="11"/>
        <v>0</v>
      </c>
      <c r="BE17" s="181">
        <f t="shared" si="11"/>
        <v>0</v>
      </c>
      <c r="BF17" s="181">
        <f t="shared" si="11"/>
        <v>0</v>
      </c>
      <c r="BG17" s="181">
        <f t="shared" si="11"/>
        <v>0</v>
      </c>
      <c r="BH17" s="181">
        <f t="shared" si="11"/>
        <v>0</v>
      </c>
      <c r="BI17" s="181">
        <f t="shared" si="11"/>
        <v>0</v>
      </c>
      <c r="BJ17" s="181">
        <f t="shared" si="11"/>
        <v>0</v>
      </c>
      <c r="BK17" s="181">
        <f t="shared" si="11"/>
        <v>0</v>
      </c>
      <c r="BL17" s="181">
        <f t="shared" si="11"/>
        <v>0</v>
      </c>
      <c r="BM17" s="181">
        <f t="shared" si="11"/>
        <v>0</v>
      </c>
      <c r="BN17" s="181">
        <f t="shared" si="11"/>
        <v>0</v>
      </c>
      <c r="BO17" s="181">
        <f t="shared" si="11"/>
        <v>0</v>
      </c>
      <c r="BP17" s="181">
        <f t="shared" ref="BP17:EA17" si="12">ROUND(BP16*100,0)</f>
        <v>0</v>
      </c>
      <c r="BQ17" s="181">
        <f t="shared" si="12"/>
        <v>0</v>
      </c>
      <c r="BR17" s="181">
        <f t="shared" si="12"/>
        <v>0</v>
      </c>
      <c r="BS17" s="181">
        <f t="shared" si="12"/>
        <v>0</v>
      </c>
      <c r="BT17" s="181">
        <f t="shared" si="12"/>
        <v>0</v>
      </c>
      <c r="BU17" s="181">
        <f t="shared" si="12"/>
        <v>0</v>
      </c>
      <c r="BV17" s="181">
        <f t="shared" si="12"/>
        <v>0</v>
      </c>
      <c r="BW17" s="181">
        <f t="shared" si="12"/>
        <v>0</v>
      </c>
      <c r="BX17" s="181">
        <f t="shared" si="12"/>
        <v>0</v>
      </c>
      <c r="BY17" s="181">
        <f t="shared" si="12"/>
        <v>0</v>
      </c>
      <c r="BZ17" s="181">
        <f t="shared" si="12"/>
        <v>0</v>
      </c>
      <c r="CA17" s="181">
        <f t="shared" si="12"/>
        <v>0</v>
      </c>
      <c r="CB17" s="181">
        <f t="shared" si="12"/>
        <v>0</v>
      </c>
      <c r="CC17" s="181">
        <f t="shared" si="12"/>
        <v>0</v>
      </c>
      <c r="CD17" s="181">
        <f t="shared" si="12"/>
        <v>0</v>
      </c>
      <c r="CE17" s="181">
        <f t="shared" si="12"/>
        <v>0</v>
      </c>
      <c r="CF17" s="181">
        <f t="shared" si="12"/>
        <v>0</v>
      </c>
      <c r="CG17" s="181">
        <f t="shared" si="12"/>
        <v>0</v>
      </c>
      <c r="CH17" s="181">
        <f t="shared" si="12"/>
        <v>0</v>
      </c>
      <c r="CI17" s="181">
        <f t="shared" si="12"/>
        <v>0</v>
      </c>
      <c r="CJ17" s="181">
        <f t="shared" si="12"/>
        <v>0</v>
      </c>
      <c r="CK17" s="181">
        <f t="shared" si="12"/>
        <v>0</v>
      </c>
      <c r="CL17" s="181">
        <f t="shared" si="12"/>
        <v>0</v>
      </c>
      <c r="CM17" s="181">
        <f t="shared" si="12"/>
        <v>0</v>
      </c>
      <c r="CN17" s="181">
        <f t="shared" si="12"/>
        <v>0</v>
      </c>
      <c r="CO17" s="181">
        <f t="shared" si="12"/>
        <v>0</v>
      </c>
      <c r="CP17" s="181">
        <f t="shared" si="12"/>
        <v>0</v>
      </c>
      <c r="CQ17" s="181">
        <f t="shared" si="12"/>
        <v>0</v>
      </c>
      <c r="CR17" s="181">
        <f t="shared" si="12"/>
        <v>0</v>
      </c>
      <c r="CS17" s="181">
        <f t="shared" si="12"/>
        <v>0</v>
      </c>
      <c r="CT17" s="181">
        <f t="shared" si="12"/>
        <v>0</v>
      </c>
      <c r="CU17" s="181">
        <f t="shared" si="12"/>
        <v>0</v>
      </c>
      <c r="CV17" s="181">
        <f t="shared" si="12"/>
        <v>0</v>
      </c>
      <c r="CW17" s="181">
        <f t="shared" si="12"/>
        <v>0</v>
      </c>
      <c r="CX17" s="181">
        <f t="shared" si="12"/>
        <v>0</v>
      </c>
      <c r="CY17" s="181">
        <f t="shared" si="12"/>
        <v>0</v>
      </c>
      <c r="CZ17" s="181">
        <f t="shared" si="12"/>
        <v>0</v>
      </c>
      <c r="DA17" s="181">
        <f t="shared" si="12"/>
        <v>0</v>
      </c>
      <c r="DB17" s="181">
        <f t="shared" si="12"/>
        <v>0</v>
      </c>
      <c r="DC17" s="181">
        <f t="shared" si="12"/>
        <v>0</v>
      </c>
      <c r="DD17" s="181">
        <f t="shared" si="12"/>
        <v>0</v>
      </c>
      <c r="DE17" s="181">
        <f t="shared" si="12"/>
        <v>0</v>
      </c>
      <c r="DF17" s="181">
        <f t="shared" si="12"/>
        <v>0</v>
      </c>
      <c r="DG17" s="181">
        <f t="shared" si="12"/>
        <v>0</v>
      </c>
      <c r="DH17" s="181">
        <f t="shared" si="12"/>
        <v>0</v>
      </c>
      <c r="DI17" s="181">
        <f t="shared" si="12"/>
        <v>0</v>
      </c>
      <c r="DJ17" s="181">
        <f t="shared" si="12"/>
        <v>0</v>
      </c>
      <c r="DK17" s="181">
        <f t="shared" si="12"/>
        <v>0</v>
      </c>
      <c r="DL17" s="181">
        <f t="shared" si="12"/>
        <v>0</v>
      </c>
      <c r="DM17" s="181">
        <f t="shared" si="12"/>
        <v>0</v>
      </c>
      <c r="DN17" s="181">
        <f t="shared" si="12"/>
        <v>0</v>
      </c>
      <c r="DO17" s="181">
        <f t="shared" si="12"/>
        <v>0</v>
      </c>
      <c r="DP17" s="181">
        <f t="shared" si="12"/>
        <v>0</v>
      </c>
      <c r="DQ17" s="181">
        <f t="shared" si="12"/>
        <v>0</v>
      </c>
      <c r="DR17" s="181">
        <f t="shared" si="12"/>
        <v>0</v>
      </c>
      <c r="DS17" s="181">
        <f t="shared" si="12"/>
        <v>0</v>
      </c>
      <c r="DT17" s="181">
        <f t="shared" si="12"/>
        <v>0</v>
      </c>
      <c r="DU17" s="181">
        <f t="shared" si="12"/>
        <v>0</v>
      </c>
      <c r="DV17" s="181">
        <f t="shared" si="12"/>
        <v>0</v>
      </c>
      <c r="DW17" s="181">
        <f t="shared" si="12"/>
        <v>0</v>
      </c>
      <c r="DX17" s="181">
        <f t="shared" si="12"/>
        <v>0</v>
      </c>
      <c r="DY17" s="181">
        <f t="shared" si="12"/>
        <v>0</v>
      </c>
      <c r="DZ17" s="181">
        <f t="shared" si="12"/>
        <v>0</v>
      </c>
      <c r="EA17" s="181">
        <f t="shared" si="12"/>
        <v>0</v>
      </c>
      <c r="EB17" s="181">
        <f t="shared" ref="EB17:FR17" si="13">ROUND(EB16*100,0)</f>
        <v>0</v>
      </c>
      <c r="EC17" s="181">
        <f t="shared" si="13"/>
        <v>0</v>
      </c>
      <c r="ED17" s="181">
        <f t="shared" si="13"/>
        <v>0</v>
      </c>
      <c r="EE17" s="181">
        <f t="shared" si="13"/>
        <v>0</v>
      </c>
      <c r="EF17" s="181">
        <f t="shared" si="13"/>
        <v>0</v>
      </c>
      <c r="EG17" s="181">
        <f t="shared" si="13"/>
        <v>0</v>
      </c>
      <c r="EH17" s="181">
        <f t="shared" si="13"/>
        <v>0</v>
      </c>
      <c r="EI17" s="181">
        <f t="shared" si="13"/>
        <v>0</v>
      </c>
      <c r="EJ17" s="181">
        <f t="shared" si="13"/>
        <v>0</v>
      </c>
      <c r="EK17" s="181">
        <f t="shared" si="13"/>
        <v>0</v>
      </c>
      <c r="EL17" s="181">
        <f t="shared" si="13"/>
        <v>0</v>
      </c>
      <c r="EM17" s="181">
        <f t="shared" si="13"/>
        <v>0</v>
      </c>
      <c r="EN17" s="181">
        <f t="shared" si="13"/>
        <v>0</v>
      </c>
      <c r="EO17" s="181">
        <f t="shared" si="13"/>
        <v>0</v>
      </c>
      <c r="EP17" s="181">
        <f t="shared" si="13"/>
        <v>0</v>
      </c>
      <c r="EQ17" s="181">
        <f t="shared" si="13"/>
        <v>0</v>
      </c>
      <c r="ER17" s="181">
        <f t="shared" si="13"/>
        <v>0</v>
      </c>
      <c r="ES17" s="181">
        <f t="shared" si="13"/>
        <v>0</v>
      </c>
      <c r="ET17" s="181">
        <f t="shared" si="13"/>
        <v>0</v>
      </c>
      <c r="EU17" s="181">
        <f t="shared" si="13"/>
        <v>0</v>
      </c>
      <c r="EV17" s="181">
        <f t="shared" si="13"/>
        <v>0</v>
      </c>
      <c r="EW17" s="181">
        <f t="shared" si="13"/>
        <v>0</v>
      </c>
      <c r="EX17" s="181">
        <f t="shared" si="13"/>
        <v>0</v>
      </c>
      <c r="EY17" s="181">
        <f t="shared" si="13"/>
        <v>0</v>
      </c>
      <c r="EZ17" s="181">
        <f t="shared" si="13"/>
        <v>0</v>
      </c>
      <c r="FA17" s="181">
        <f t="shared" si="13"/>
        <v>0</v>
      </c>
      <c r="FB17" s="181">
        <f t="shared" si="13"/>
        <v>0</v>
      </c>
      <c r="FC17" s="181">
        <f t="shared" si="13"/>
        <v>0</v>
      </c>
      <c r="FD17" s="181">
        <f t="shared" si="13"/>
        <v>0</v>
      </c>
      <c r="FE17" s="181">
        <f t="shared" si="13"/>
        <v>0</v>
      </c>
      <c r="FF17" s="181">
        <f t="shared" si="13"/>
        <v>0</v>
      </c>
      <c r="FG17" s="181">
        <f t="shared" si="13"/>
        <v>0</v>
      </c>
      <c r="FH17" s="181">
        <f t="shared" si="13"/>
        <v>0</v>
      </c>
      <c r="FI17" s="181">
        <f t="shared" si="13"/>
        <v>0</v>
      </c>
      <c r="FJ17" s="181">
        <f t="shared" si="13"/>
        <v>0</v>
      </c>
      <c r="FK17" s="181">
        <f t="shared" si="13"/>
        <v>0</v>
      </c>
      <c r="FL17" s="181">
        <f t="shared" si="13"/>
        <v>0</v>
      </c>
      <c r="FM17" s="181">
        <f t="shared" si="13"/>
        <v>0</v>
      </c>
      <c r="FN17" s="181">
        <f t="shared" si="13"/>
        <v>0</v>
      </c>
      <c r="FO17" s="181">
        <f t="shared" si="13"/>
        <v>0</v>
      </c>
      <c r="FP17" s="181">
        <f t="shared" si="13"/>
        <v>0</v>
      </c>
      <c r="FQ17" s="181">
        <f t="shared" si="13"/>
        <v>0</v>
      </c>
      <c r="FR17" s="181">
        <f t="shared" si="13"/>
        <v>0</v>
      </c>
    </row>
    <row r="18" spans="1:174" s="119" customFormat="1" ht="16.95" customHeight="1" x14ac:dyDescent="0.3">
      <c r="A18" s="116"/>
      <c r="B18" s="120"/>
      <c r="C18" s="122"/>
      <c r="D18" s="122"/>
      <c r="E18" s="122"/>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2"/>
      <c r="BK18" s="122"/>
      <c r="BL18" s="122"/>
      <c r="BM18" s="122"/>
      <c r="BN18" s="122"/>
      <c r="BO18" s="122"/>
      <c r="BP18" s="122"/>
      <c r="BQ18" s="122"/>
      <c r="BR18" s="122"/>
      <c r="BS18" s="122"/>
      <c r="BT18" s="122"/>
      <c r="BU18" s="122"/>
      <c r="BV18" s="122"/>
      <c r="BW18" s="122"/>
      <c r="BX18" s="122"/>
      <c r="BY18" s="122"/>
      <c r="BZ18" s="122"/>
      <c r="CA18" s="122"/>
      <c r="CB18" s="122"/>
      <c r="CC18" s="122"/>
      <c r="CD18" s="122"/>
      <c r="CE18" s="122"/>
      <c r="CF18" s="122"/>
      <c r="CG18" s="122"/>
      <c r="CH18" s="122"/>
      <c r="CI18" s="122"/>
      <c r="CJ18" s="122"/>
      <c r="CK18" s="122"/>
      <c r="CL18" s="122"/>
      <c r="CM18" s="122"/>
      <c r="CN18" s="122"/>
      <c r="CO18" s="122"/>
      <c r="CP18" s="122"/>
      <c r="CQ18" s="122"/>
      <c r="CR18" s="122"/>
      <c r="CS18" s="122"/>
      <c r="CT18" s="122"/>
      <c r="CU18" s="122"/>
      <c r="CV18" s="122"/>
      <c r="CW18" s="122"/>
      <c r="CX18" s="122"/>
      <c r="CY18" s="122"/>
      <c r="CZ18" s="122"/>
      <c r="DA18" s="122"/>
      <c r="DB18" s="122"/>
      <c r="DC18" s="122"/>
      <c r="DD18" s="122"/>
      <c r="DE18" s="122"/>
      <c r="DF18" s="122"/>
      <c r="DG18" s="122"/>
      <c r="DH18" s="122"/>
      <c r="DI18" s="122"/>
      <c r="DJ18" s="122"/>
      <c r="DK18" s="122"/>
      <c r="DL18" s="122"/>
      <c r="DM18" s="122"/>
      <c r="DN18" s="122"/>
      <c r="DO18" s="122"/>
      <c r="DP18" s="122"/>
      <c r="DQ18" s="122"/>
      <c r="DR18" s="122"/>
      <c r="DS18" s="122"/>
      <c r="DT18" s="122"/>
      <c r="DU18" s="122"/>
      <c r="DV18" s="122"/>
      <c r="DW18" s="122"/>
      <c r="DX18" s="122"/>
      <c r="DY18" s="122"/>
      <c r="DZ18" s="122"/>
      <c r="EA18" s="122"/>
      <c r="EB18" s="122"/>
      <c r="EC18" s="122"/>
      <c r="ED18" s="122"/>
      <c r="EE18" s="122"/>
      <c r="EF18" s="122"/>
      <c r="EG18" s="122"/>
      <c r="EH18" s="122"/>
      <c r="EI18" s="122"/>
      <c r="EJ18" s="122"/>
      <c r="EK18" s="122"/>
      <c r="EL18" s="122"/>
      <c r="EM18" s="122"/>
      <c r="EN18" s="122"/>
      <c r="EO18" s="122"/>
      <c r="EP18" s="122"/>
      <c r="EQ18" s="122"/>
      <c r="ER18" s="122"/>
      <c r="ES18" s="122"/>
      <c r="ET18" s="122"/>
      <c r="EU18" s="122"/>
      <c r="EV18" s="122"/>
      <c r="EW18" s="122"/>
      <c r="EX18" s="122"/>
      <c r="EY18" s="122"/>
      <c r="EZ18" s="122"/>
      <c r="FA18" s="122"/>
      <c r="FB18" s="122"/>
      <c r="FC18" s="122"/>
      <c r="FD18" s="122"/>
      <c r="FE18" s="122"/>
      <c r="FF18" s="122"/>
      <c r="FG18" s="122"/>
      <c r="FH18" s="122"/>
      <c r="FI18" s="122"/>
      <c r="FJ18" s="122"/>
      <c r="FK18" s="122"/>
      <c r="FL18" s="122"/>
      <c r="FM18" s="122"/>
      <c r="FN18" s="122"/>
      <c r="FO18" s="122"/>
      <c r="FP18" s="122"/>
      <c r="FQ18" s="122"/>
      <c r="FR18" s="122"/>
    </row>
    <row r="19" spans="1:174" s="119" customFormat="1" ht="14.4" thickBot="1" x14ac:dyDescent="0.35">
      <c r="A19" s="123">
        <v>1.1000000000000001</v>
      </c>
      <c r="B19" s="124" t="s">
        <v>9</v>
      </c>
      <c r="C19" s="122"/>
      <c r="D19" s="122"/>
      <c r="E19" s="122"/>
      <c r="F19" s="122"/>
      <c r="G19" s="122"/>
      <c r="H19" s="122"/>
      <c r="I19" s="122"/>
      <c r="J19" s="122"/>
      <c r="K19" s="122"/>
      <c r="L19" s="122"/>
      <c r="M19" s="122"/>
      <c r="N19" s="122"/>
      <c r="O19" s="122"/>
      <c r="P19" s="122"/>
      <c r="Q19" s="122"/>
      <c r="R19" s="122"/>
      <c r="S19" s="122"/>
      <c r="T19" s="122"/>
      <c r="U19" s="122"/>
      <c r="V19" s="122"/>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2"/>
      <c r="BK19" s="122"/>
      <c r="BL19" s="122"/>
      <c r="BM19" s="122"/>
      <c r="BN19" s="122"/>
      <c r="BO19" s="122"/>
      <c r="BP19" s="122"/>
      <c r="BQ19" s="122"/>
      <c r="BR19" s="122"/>
      <c r="BS19" s="122"/>
      <c r="BT19" s="122"/>
      <c r="BU19" s="122"/>
      <c r="BV19" s="122"/>
      <c r="BW19" s="122"/>
      <c r="BX19" s="122"/>
      <c r="BY19" s="122"/>
      <c r="BZ19" s="122"/>
      <c r="CA19" s="122"/>
      <c r="CB19" s="122"/>
      <c r="CC19" s="122"/>
      <c r="CD19" s="122"/>
      <c r="CE19" s="122"/>
      <c r="CF19" s="122"/>
      <c r="CG19" s="122"/>
      <c r="CH19" s="122"/>
      <c r="CI19" s="122"/>
      <c r="CJ19" s="122"/>
      <c r="CK19" s="122"/>
      <c r="CL19" s="122"/>
      <c r="CM19" s="122"/>
      <c r="CN19" s="122"/>
      <c r="CO19" s="122"/>
      <c r="CP19" s="122"/>
      <c r="CQ19" s="122"/>
      <c r="CR19" s="122"/>
      <c r="CS19" s="122"/>
      <c r="CT19" s="122"/>
      <c r="CU19" s="122"/>
      <c r="CV19" s="122"/>
      <c r="CW19" s="122"/>
      <c r="CX19" s="122"/>
      <c r="CY19" s="122"/>
      <c r="CZ19" s="122"/>
      <c r="DA19" s="122"/>
      <c r="DB19" s="122"/>
      <c r="DC19" s="122"/>
      <c r="DD19" s="122"/>
      <c r="DE19" s="122"/>
      <c r="DF19" s="122"/>
      <c r="DG19" s="122"/>
      <c r="DH19" s="122"/>
      <c r="DI19" s="122"/>
      <c r="DJ19" s="122"/>
      <c r="DK19" s="122"/>
      <c r="DL19" s="122"/>
      <c r="DM19" s="122"/>
      <c r="DN19" s="122"/>
      <c r="DO19" s="122"/>
      <c r="DP19" s="122"/>
      <c r="DQ19" s="122"/>
      <c r="DR19" s="122"/>
      <c r="DS19" s="122"/>
      <c r="DT19" s="122"/>
      <c r="DU19" s="122"/>
      <c r="DV19" s="122"/>
      <c r="DW19" s="122"/>
      <c r="DX19" s="122"/>
      <c r="DY19" s="122"/>
      <c r="DZ19" s="122"/>
      <c r="EA19" s="122"/>
      <c r="EB19" s="122"/>
      <c r="EC19" s="122"/>
      <c r="ED19" s="122"/>
      <c r="EE19" s="122"/>
      <c r="EF19" s="122"/>
      <c r="EG19" s="122"/>
      <c r="EH19" s="122"/>
      <c r="EI19" s="122"/>
      <c r="EJ19" s="122"/>
      <c r="EK19" s="122"/>
      <c r="EL19" s="122"/>
      <c r="EM19" s="122"/>
      <c r="EN19" s="122"/>
      <c r="EO19" s="122"/>
      <c r="EP19" s="122"/>
      <c r="EQ19" s="122"/>
      <c r="ER19" s="122"/>
      <c r="ES19" s="122"/>
      <c r="ET19" s="122"/>
      <c r="EU19" s="122"/>
      <c r="EV19" s="122"/>
      <c r="EW19" s="122"/>
      <c r="EX19" s="122"/>
      <c r="EY19" s="122"/>
      <c r="EZ19" s="122"/>
      <c r="FA19" s="122"/>
      <c r="FB19" s="122"/>
      <c r="FC19" s="122"/>
      <c r="FD19" s="122"/>
      <c r="FE19" s="122"/>
      <c r="FF19" s="122"/>
      <c r="FG19" s="122"/>
      <c r="FH19" s="122"/>
      <c r="FI19" s="122"/>
      <c r="FJ19" s="122"/>
      <c r="FK19" s="122"/>
      <c r="FL19" s="122"/>
      <c r="FM19" s="122"/>
      <c r="FN19" s="122"/>
      <c r="FO19" s="122"/>
      <c r="FP19" s="122"/>
      <c r="FQ19" s="122"/>
      <c r="FR19" s="122"/>
    </row>
    <row r="20" spans="1:174" ht="25.05" customHeight="1" x14ac:dyDescent="0.3">
      <c r="A20" s="164" t="s">
        <v>22</v>
      </c>
      <c r="B20" s="165" t="s">
        <v>23</v>
      </c>
      <c r="C20" s="125">
        <v>9</v>
      </c>
      <c r="D20" s="125"/>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25"/>
      <c r="CQ20" s="125"/>
      <c r="CR20" s="125"/>
      <c r="CS20" s="125"/>
      <c r="CT20" s="125"/>
      <c r="CU20" s="125"/>
      <c r="CV20" s="125"/>
      <c r="CW20" s="125"/>
      <c r="CX20" s="125"/>
      <c r="CY20" s="125"/>
      <c r="CZ20" s="125"/>
      <c r="DA20" s="125"/>
      <c r="DB20" s="125"/>
      <c r="DC20" s="125"/>
      <c r="DD20" s="125"/>
      <c r="DE20" s="125"/>
      <c r="DF20" s="125"/>
      <c r="DG20" s="125"/>
      <c r="DH20" s="125"/>
      <c r="DI20" s="125"/>
      <c r="DJ20" s="125"/>
      <c r="DK20" s="125"/>
      <c r="DL20" s="125"/>
      <c r="DM20" s="125"/>
      <c r="DN20" s="125"/>
      <c r="DO20" s="125"/>
      <c r="DP20" s="125"/>
      <c r="DQ20" s="125"/>
      <c r="DR20" s="125"/>
      <c r="DS20" s="125"/>
      <c r="DT20" s="125"/>
      <c r="DU20" s="125"/>
      <c r="DV20" s="125"/>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125"/>
      <c r="FA20" s="125"/>
      <c r="FB20" s="125"/>
      <c r="FC20" s="125"/>
      <c r="FD20" s="125"/>
      <c r="FE20" s="125"/>
      <c r="FF20" s="125"/>
      <c r="FG20" s="125"/>
      <c r="FH20" s="125"/>
      <c r="FI20" s="125"/>
      <c r="FJ20" s="125"/>
      <c r="FK20" s="125"/>
      <c r="FL20" s="125"/>
      <c r="FM20" s="125"/>
      <c r="FN20" s="125"/>
      <c r="FO20" s="125"/>
      <c r="FP20" s="125"/>
      <c r="FQ20" s="125"/>
      <c r="FR20" s="125"/>
    </row>
    <row r="21" spans="1:174" ht="25.05" customHeight="1" x14ac:dyDescent="0.3">
      <c r="A21" s="166" t="s">
        <v>24</v>
      </c>
      <c r="B21" s="167" t="s">
        <v>25</v>
      </c>
      <c r="C21" s="125">
        <v>9</v>
      </c>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25"/>
      <c r="CQ21" s="125"/>
      <c r="CR21" s="125"/>
      <c r="CS21" s="125"/>
      <c r="CT21" s="125"/>
      <c r="CU21" s="125"/>
      <c r="CV21" s="125"/>
      <c r="CW21" s="125"/>
      <c r="CX21" s="125"/>
      <c r="CY21" s="125"/>
      <c r="CZ21" s="125"/>
      <c r="DA21" s="125"/>
      <c r="DB21" s="125"/>
      <c r="DC21" s="125"/>
      <c r="DD21" s="125"/>
      <c r="DE21" s="125"/>
      <c r="DF21" s="125"/>
      <c r="DG21" s="125"/>
      <c r="DH21" s="125"/>
      <c r="DI21" s="125"/>
      <c r="DJ21" s="125"/>
      <c r="DK21" s="125"/>
      <c r="DL21" s="125"/>
      <c r="DM21" s="125"/>
      <c r="DN21" s="125"/>
      <c r="DO21" s="125"/>
      <c r="DP21" s="125"/>
      <c r="DQ21" s="125"/>
      <c r="DR21" s="125"/>
      <c r="DS21" s="125"/>
      <c r="DT21" s="125"/>
      <c r="DU21" s="125"/>
      <c r="DV21" s="125"/>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125"/>
      <c r="FA21" s="125"/>
      <c r="FB21" s="125"/>
      <c r="FC21" s="125"/>
      <c r="FD21" s="125"/>
      <c r="FE21" s="125"/>
      <c r="FF21" s="125"/>
      <c r="FG21" s="125"/>
      <c r="FH21" s="125"/>
      <c r="FI21" s="125"/>
      <c r="FJ21" s="125"/>
      <c r="FK21" s="125"/>
      <c r="FL21" s="125"/>
      <c r="FM21" s="125"/>
      <c r="FN21" s="125"/>
      <c r="FO21" s="125"/>
      <c r="FP21" s="125"/>
      <c r="FQ21" s="125"/>
      <c r="FR21" s="125"/>
    </row>
    <row r="22" spans="1:174" ht="25.05" customHeight="1" x14ac:dyDescent="0.3">
      <c r="A22" s="166" t="s">
        <v>26</v>
      </c>
      <c r="B22" s="167" t="s">
        <v>27</v>
      </c>
      <c r="C22" s="125">
        <v>9</v>
      </c>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25"/>
      <c r="CQ22" s="125"/>
      <c r="CR22" s="125"/>
      <c r="CS22" s="125"/>
      <c r="CT22" s="125"/>
      <c r="CU22" s="125"/>
      <c r="CV22" s="125"/>
      <c r="CW22" s="125"/>
      <c r="CX22" s="125"/>
      <c r="CY22" s="125"/>
      <c r="CZ22" s="125"/>
      <c r="DA22" s="125"/>
      <c r="DB22" s="125"/>
      <c r="DC22" s="125"/>
      <c r="DD22" s="125"/>
      <c r="DE22" s="125"/>
      <c r="DF22" s="125"/>
      <c r="DG22" s="125"/>
      <c r="DH22" s="125"/>
      <c r="DI22" s="125"/>
      <c r="DJ22" s="125"/>
      <c r="DK22" s="125"/>
      <c r="DL22" s="125"/>
      <c r="DM22" s="125"/>
      <c r="DN22" s="125"/>
      <c r="DO22" s="125"/>
      <c r="DP22" s="125"/>
      <c r="DQ22" s="125"/>
      <c r="DR22" s="125"/>
      <c r="DS22" s="125"/>
      <c r="DT22" s="125"/>
      <c r="DU22" s="125"/>
      <c r="DV22" s="125"/>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125"/>
      <c r="FA22" s="125"/>
      <c r="FB22" s="125"/>
      <c r="FC22" s="125"/>
      <c r="FD22" s="125"/>
      <c r="FE22" s="125"/>
      <c r="FF22" s="125"/>
      <c r="FG22" s="125"/>
      <c r="FH22" s="125"/>
      <c r="FI22" s="125"/>
      <c r="FJ22" s="125"/>
      <c r="FK22" s="125"/>
      <c r="FL22" s="125"/>
      <c r="FM22" s="125"/>
      <c r="FN22" s="125"/>
      <c r="FO22" s="125"/>
      <c r="FP22" s="125"/>
      <c r="FQ22" s="125"/>
      <c r="FR22" s="125"/>
    </row>
    <row r="23" spans="1:174" ht="25.05" customHeight="1" x14ac:dyDescent="0.3">
      <c r="A23" s="166" t="s">
        <v>28</v>
      </c>
      <c r="B23" s="167" t="s">
        <v>29</v>
      </c>
      <c r="C23" s="125">
        <v>9</v>
      </c>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25"/>
      <c r="CQ23" s="125"/>
      <c r="CR23" s="125"/>
      <c r="CS23" s="125"/>
      <c r="CT23" s="125"/>
      <c r="CU23" s="125"/>
      <c r="CV23" s="125"/>
      <c r="CW23" s="125"/>
      <c r="CX23" s="125"/>
      <c r="CY23" s="125"/>
      <c r="CZ23" s="125"/>
      <c r="DA23" s="125"/>
      <c r="DB23" s="125"/>
      <c r="DC23" s="125"/>
      <c r="DD23" s="125"/>
      <c r="DE23" s="125"/>
      <c r="DF23" s="125"/>
      <c r="DG23" s="125"/>
      <c r="DH23" s="125"/>
      <c r="DI23" s="125"/>
      <c r="DJ23" s="125"/>
      <c r="DK23" s="125"/>
      <c r="DL23" s="125"/>
      <c r="DM23" s="125"/>
      <c r="DN23" s="125"/>
      <c r="DO23" s="125"/>
      <c r="DP23" s="125"/>
      <c r="DQ23" s="125"/>
      <c r="DR23" s="125"/>
      <c r="DS23" s="125"/>
      <c r="DT23" s="125"/>
      <c r="DU23" s="125"/>
      <c r="DV23" s="125"/>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125"/>
      <c r="FA23" s="125"/>
      <c r="FB23" s="125"/>
      <c r="FC23" s="125"/>
      <c r="FD23" s="125"/>
      <c r="FE23" s="125"/>
      <c r="FF23" s="125"/>
      <c r="FG23" s="125"/>
      <c r="FH23" s="125"/>
      <c r="FI23" s="125"/>
      <c r="FJ23" s="125"/>
      <c r="FK23" s="125"/>
      <c r="FL23" s="125"/>
      <c r="FM23" s="125"/>
      <c r="FN23" s="125"/>
      <c r="FO23" s="125"/>
      <c r="FP23" s="125"/>
      <c r="FQ23" s="125"/>
      <c r="FR23" s="125"/>
    </row>
    <row r="24" spans="1:174" ht="25.05" customHeight="1" x14ac:dyDescent="0.3">
      <c r="A24" s="166" t="s">
        <v>30</v>
      </c>
      <c r="B24" s="167" t="s">
        <v>31</v>
      </c>
      <c r="C24" s="125">
        <v>9</v>
      </c>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c r="BP24" s="125"/>
      <c r="BQ24" s="125"/>
      <c r="BR24" s="125"/>
      <c r="BS24" s="125"/>
      <c r="BT24" s="125"/>
      <c r="BU24" s="125"/>
      <c r="BV24" s="125"/>
      <c r="BW24" s="125"/>
      <c r="BX24" s="125"/>
      <c r="BY24" s="125"/>
      <c r="BZ24" s="125"/>
      <c r="CA24" s="125"/>
      <c r="CB24" s="125"/>
      <c r="CC24" s="125"/>
      <c r="CD24" s="125"/>
      <c r="CE24" s="125"/>
      <c r="CF24" s="125"/>
      <c r="CG24" s="125"/>
      <c r="CH24" s="125"/>
      <c r="CI24" s="125"/>
      <c r="CJ24" s="125"/>
      <c r="CK24" s="125"/>
      <c r="CL24" s="125"/>
      <c r="CM24" s="125"/>
      <c r="CN24" s="125"/>
      <c r="CO24" s="125"/>
      <c r="CP24" s="125"/>
      <c r="CQ24" s="125"/>
      <c r="CR24" s="125"/>
      <c r="CS24" s="125"/>
      <c r="CT24" s="125"/>
      <c r="CU24" s="125"/>
      <c r="CV24" s="125"/>
      <c r="CW24" s="125"/>
      <c r="CX24" s="125"/>
      <c r="CY24" s="125"/>
      <c r="CZ24" s="125"/>
      <c r="DA24" s="125"/>
      <c r="DB24" s="125"/>
      <c r="DC24" s="125"/>
      <c r="DD24" s="125"/>
      <c r="DE24" s="125"/>
      <c r="DF24" s="125"/>
      <c r="DG24" s="125"/>
      <c r="DH24" s="125"/>
      <c r="DI24" s="125"/>
      <c r="DJ24" s="125"/>
      <c r="DK24" s="125"/>
      <c r="DL24" s="125"/>
      <c r="DM24" s="125"/>
      <c r="DN24" s="125"/>
      <c r="DO24" s="125"/>
      <c r="DP24" s="125"/>
      <c r="DQ24" s="125"/>
      <c r="DR24" s="125"/>
      <c r="DS24" s="125"/>
      <c r="DT24" s="125"/>
      <c r="DU24" s="125"/>
      <c r="DV24" s="125"/>
      <c r="DW24" s="125"/>
      <c r="DX24" s="125"/>
      <c r="DY24" s="125"/>
      <c r="DZ24" s="125"/>
      <c r="EA24" s="125"/>
      <c r="EB24" s="125"/>
      <c r="EC24" s="125"/>
      <c r="ED24" s="125"/>
      <c r="EE24" s="125"/>
      <c r="EF24" s="125"/>
      <c r="EG24" s="125"/>
      <c r="EH24" s="125"/>
      <c r="EI24" s="125"/>
      <c r="EJ24" s="125"/>
      <c r="EK24" s="125"/>
      <c r="EL24" s="125"/>
      <c r="EM24" s="125"/>
      <c r="EN24" s="125"/>
      <c r="EO24" s="125"/>
      <c r="EP24" s="125"/>
      <c r="EQ24" s="125"/>
      <c r="ER24" s="125"/>
      <c r="ES24" s="125"/>
      <c r="ET24" s="125"/>
      <c r="EU24" s="125"/>
      <c r="EV24" s="125"/>
      <c r="EW24" s="125"/>
      <c r="EX24" s="125"/>
      <c r="EY24" s="125"/>
      <c r="EZ24" s="125"/>
      <c r="FA24" s="125"/>
      <c r="FB24" s="125"/>
      <c r="FC24" s="125"/>
      <c r="FD24" s="125"/>
      <c r="FE24" s="125"/>
      <c r="FF24" s="125"/>
      <c r="FG24" s="125"/>
      <c r="FH24" s="125"/>
      <c r="FI24" s="125"/>
      <c r="FJ24" s="125"/>
      <c r="FK24" s="125"/>
      <c r="FL24" s="125"/>
      <c r="FM24" s="125"/>
      <c r="FN24" s="125"/>
      <c r="FO24" s="125"/>
      <c r="FP24" s="125"/>
      <c r="FQ24" s="125"/>
      <c r="FR24" s="125"/>
    </row>
    <row r="25" spans="1:174" ht="15" customHeight="1" x14ac:dyDescent="0.3">
      <c r="A25" s="168"/>
      <c r="B25" s="169" t="s">
        <v>32</v>
      </c>
      <c r="C25" s="176">
        <f>SUM(C20:C24)</f>
        <v>45</v>
      </c>
      <c r="D25" s="176">
        <f t="shared" ref="D25:BO25" si="14">SUM(D20:D24)</f>
        <v>0</v>
      </c>
      <c r="E25" s="176">
        <f t="shared" si="14"/>
        <v>0</v>
      </c>
      <c r="F25" s="176">
        <f t="shared" si="14"/>
        <v>0</v>
      </c>
      <c r="G25" s="176">
        <f t="shared" si="14"/>
        <v>0</v>
      </c>
      <c r="H25" s="176">
        <f t="shared" si="14"/>
        <v>0</v>
      </c>
      <c r="I25" s="176">
        <f t="shared" si="14"/>
        <v>0</v>
      </c>
      <c r="J25" s="176">
        <f t="shared" si="14"/>
        <v>0</v>
      </c>
      <c r="K25" s="176">
        <f t="shared" si="14"/>
        <v>0</v>
      </c>
      <c r="L25" s="176">
        <f t="shared" si="14"/>
        <v>0</v>
      </c>
      <c r="M25" s="176">
        <f t="shared" si="14"/>
        <v>0</v>
      </c>
      <c r="N25" s="176">
        <f t="shared" si="14"/>
        <v>0</v>
      </c>
      <c r="O25" s="176">
        <f t="shared" si="14"/>
        <v>0</v>
      </c>
      <c r="P25" s="176">
        <f t="shared" si="14"/>
        <v>0</v>
      </c>
      <c r="Q25" s="176">
        <f t="shared" si="14"/>
        <v>0</v>
      </c>
      <c r="R25" s="176">
        <f t="shared" si="14"/>
        <v>0</v>
      </c>
      <c r="S25" s="176">
        <f t="shared" si="14"/>
        <v>0</v>
      </c>
      <c r="T25" s="176">
        <f t="shared" si="14"/>
        <v>0</v>
      </c>
      <c r="U25" s="176">
        <f t="shared" si="14"/>
        <v>0</v>
      </c>
      <c r="V25" s="176">
        <f t="shared" si="14"/>
        <v>0</v>
      </c>
      <c r="W25" s="176">
        <f t="shared" si="14"/>
        <v>0</v>
      </c>
      <c r="X25" s="176">
        <f t="shared" si="14"/>
        <v>0</v>
      </c>
      <c r="Y25" s="176">
        <f t="shared" si="14"/>
        <v>0</v>
      </c>
      <c r="Z25" s="176">
        <f t="shared" si="14"/>
        <v>0</v>
      </c>
      <c r="AA25" s="176">
        <f t="shared" si="14"/>
        <v>0</v>
      </c>
      <c r="AB25" s="176">
        <f t="shared" si="14"/>
        <v>0</v>
      </c>
      <c r="AC25" s="176">
        <f t="shared" si="14"/>
        <v>0</v>
      </c>
      <c r="AD25" s="176">
        <f t="shared" si="14"/>
        <v>0</v>
      </c>
      <c r="AE25" s="176">
        <f t="shared" si="14"/>
        <v>0</v>
      </c>
      <c r="AF25" s="176">
        <f t="shared" si="14"/>
        <v>0</v>
      </c>
      <c r="AG25" s="176">
        <f t="shared" si="14"/>
        <v>0</v>
      </c>
      <c r="AH25" s="176">
        <f t="shared" si="14"/>
        <v>0</v>
      </c>
      <c r="AI25" s="176">
        <f t="shared" si="14"/>
        <v>0</v>
      </c>
      <c r="AJ25" s="176">
        <f t="shared" si="14"/>
        <v>0</v>
      </c>
      <c r="AK25" s="176">
        <f t="shared" si="14"/>
        <v>0</v>
      </c>
      <c r="AL25" s="176">
        <f t="shared" si="14"/>
        <v>0</v>
      </c>
      <c r="AM25" s="176">
        <f t="shared" si="14"/>
        <v>0</v>
      </c>
      <c r="AN25" s="176">
        <f t="shared" si="14"/>
        <v>0</v>
      </c>
      <c r="AO25" s="176">
        <f t="shared" si="14"/>
        <v>0</v>
      </c>
      <c r="AP25" s="176">
        <f t="shared" si="14"/>
        <v>0</v>
      </c>
      <c r="AQ25" s="176">
        <f t="shared" si="14"/>
        <v>0</v>
      </c>
      <c r="AR25" s="176">
        <f t="shared" si="14"/>
        <v>0</v>
      </c>
      <c r="AS25" s="176">
        <f t="shared" si="14"/>
        <v>0</v>
      </c>
      <c r="AT25" s="176">
        <f t="shared" si="14"/>
        <v>0</v>
      </c>
      <c r="AU25" s="176">
        <f t="shared" si="14"/>
        <v>0</v>
      </c>
      <c r="AV25" s="176">
        <f t="shared" si="14"/>
        <v>0</v>
      </c>
      <c r="AW25" s="176">
        <f t="shared" si="14"/>
        <v>0</v>
      </c>
      <c r="AX25" s="176">
        <f t="shared" si="14"/>
        <v>0</v>
      </c>
      <c r="AY25" s="176">
        <f t="shared" si="14"/>
        <v>0</v>
      </c>
      <c r="AZ25" s="176">
        <f t="shared" si="14"/>
        <v>0</v>
      </c>
      <c r="BA25" s="176">
        <f t="shared" si="14"/>
        <v>0</v>
      </c>
      <c r="BB25" s="176">
        <f t="shared" si="14"/>
        <v>0</v>
      </c>
      <c r="BC25" s="176">
        <f t="shared" si="14"/>
        <v>0</v>
      </c>
      <c r="BD25" s="176">
        <f t="shared" si="14"/>
        <v>0</v>
      </c>
      <c r="BE25" s="176">
        <f t="shared" si="14"/>
        <v>0</v>
      </c>
      <c r="BF25" s="176">
        <f t="shared" si="14"/>
        <v>0</v>
      </c>
      <c r="BG25" s="176">
        <f t="shared" si="14"/>
        <v>0</v>
      </c>
      <c r="BH25" s="176">
        <f t="shared" si="14"/>
        <v>0</v>
      </c>
      <c r="BI25" s="176">
        <f t="shared" si="14"/>
        <v>0</v>
      </c>
      <c r="BJ25" s="176">
        <f t="shared" si="14"/>
        <v>0</v>
      </c>
      <c r="BK25" s="176">
        <f t="shared" si="14"/>
        <v>0</v>
      </c>
      <c r="BL25" s="176">
        <f t="shared" si="14"/>
        <v>0</v>
      </c>
      <c r="BM25" s="176">
        <f t="shared" si="14"/>
        <v>0</v>
      </c>
      <c r="BN25" s="176">
        <f t="shared" si="14"/>
        <v>0</v>
      </c>
      <c r="BO25" s="176">
        <f t="shared" si="14"/>
        <v>0</v>
      </c>
      <c r="BP25" s="176">
        <f t="shared" ref="BP25:EA25" si="15">SUM(BP20:BP24)</f>
        <v>0</v>
      </c>
      <c r="BQ25" s="176">
        <f t="shared" si="15"/>
        <v>0</v>
      </c>
      <c r="BR25" s="176">
        <f t="shared" si="15"/>
        <v>0</v>
      </c>
      <c r="BS25" s="176">
        <f t="shared" si="15"/>
        <v>0</v>
      </c>
      <c r="BT25" s="176">
        <f t="shared" si="15"/>
        <v>0</v>
      </c>
      <c r="BU25" s="176">
        <f t="shared" si="15"/>
        <v>0</v>
      </c>
      <c r="BV25" s="176">
        <f t="shared" si="15"/>
        <v>0</v>
      </c>
      <c r="BW25" s="176">
        <f t="shared" si="15"/>
        <v>0</v>
      </c>
      <c r="BX25" s="176">
        <f t="shared" si="15"/>
        <v>0</v>
      </c>
      <c r="BY25" s="176">
        <f t="shared" si="15"/>
        <v>0</v>
      </c>
      <c r="BZ25" s="176">
        <f t="shared" si="15"/>
        <v>0</v>
      </c>
      <c r="CA25" s="176">
        <f t="shared" si="15"/>
        <v>0</v>
      </c>
      <c r="CB25" s="176">
        <f t="shared" si="15"/>
        <v>0</v>
      </c>
      <c r="CC25" s="176">
        <f t="shared" si="15"/>
        <v>0</v>
      </c>
      <c r="CD25" s="176">
        <f t="shared" si="15"/>
        <v>0</v>
      </c>
      <c r="CE25" s="176">
        <f t="shared" si="15"/>
        <v>0</v>
      </c>
      <c r="CF25" s="176">
        <f t="shared" si="15"/>
        <v>0</v>
      </c>
      <c r="CG25" s="176">
        <f t="shared" si="15"/>
        <v>0</v>
      </c>
      <c r="CH25" s="176">
        <f t="shared" si="15"/>
        <v>0</v>
      </c>
      <c r="CI25" s="176">
        <f t="shared" si="15"/>
        <v>0</v>
      </c>
      <c r="CJ25" s="176">
        <f t="shared" si="15"/>
        <v>0</v>
      </c>
      <c r="CK25" s="176">
        <f t="shared" si="15"/>
        <v>0</v>
      </c>
      <c r="CL25" s="176">
        <f t="shared" si="15"/>
        <v>0</v>
      </c>
      <c r="CM25" s="176">
        <f t="shared" si="15"/>
        <v>0</v>
      </c>
      <c r="CN25" s="176">
        <f t="shared" si="15"/>
        <v>0</v>
      </c>
      <c r="CO25" s="176">
        <f t="shared" si="15"/>
        <v>0</v>
      </c>
      <c r="CP25" s="176">
        <f t="shared" si="15"/>
        <v>0</v>
      </c>
      <c r="CQ25" s="176">
        <f t="shared" si="15"/>
        <v>0</v>
      </c>
      <c r="CR25" s="176">
        <f t="shared" si="15"/>
        <v>0</v>
      </c>
      <c r="CS25" s="176">
        <f t="shared" si="15"/>
        <v>0</v>
      </c>
      <c r="CT25" s="176">
        <f t="shared" si="15"/>
        <v>0</v>
      </c>
      <c r="CU25" s="176">
        <f t="shared" si="15"/>
        <v>0</v>
      </c>
      <c r="CV25" s="176">
        <f t="shared" si="15"/>
        <v>0</v>
      </c>
      <c r="CW25" s="176">
        <f t="shared" si="15"/>
        <v>0</v>
      </c>
      <c r="CX25" s="176">
        <f t="shared" si="15"/>
        <v>0</v>
      </c>
      <c r="CY25" s="176">
        <f t="shared" si="15"/>
        <v>0</v>
      </c>
      <c r="CZ25" s="176">
        <f t="shared" si="15"/>
        <v>0</v>
      </c>
      <c r="DA25" s="176">
        <f t="shared" si="15"/>
        <v>0</v>
      </c>
      <c r="DB25" s="176">
        <f t="shared" si="15"/>
        <v>0</v>
      </c>
      <c r="DC25" s="176">
        <f t="shared" si="15"/>
        <v>0</v>
      </c>
      <c r="DD25" s="176">
        <f t="shared" si="15"/>
        <v>0</v>
      </c>
      <c r="DE25" s="176">
        <f t="shared" si="15"/>
        <v>0</v>
      </c>
      <c r="DF25" s="176">
        <f t="shared" si="15"/>
        <v>0</v>
      </c>
      <c r="DG25" s="176">
        <f t="shared" si="15"/>
        <v>0</v>
      </c>
      <c r="DH25" s="176">
        <f t="shared" si="15"/>
        <v>0</v>
      </c>
      <c r="DI25" s="176">
        <f t="shared" si="15"/>
        <v>0</v>
      </c>
      <c r="DJ25" s="176">
        <f t="shared" si="15"/>
        <v>0</v>
      </c>
      <c r="DK25" s="176">
        <f t="shared" si="15"/>
        <v>0</v>
      </c>
      <c r="DL25" s="176">
        <f t="shared" si="15"/>
        <v>0</v>
      </c>
      <c r="DM25" s="176">
        <f t="shared" si="15"/>
        <v>0</v>
      </c>
      <c r="DN25" s="176">
        <f t="shared" si="15"/>
        <v>0</v>
      </c>
      <c r="DO25" s="176">
        <f t="shared" si="15"/>
        <v>0</v>
      </c>
      <c r="DP25" s="176">
        <f t="shared" si="15"/>
        <v>0</v>
      </c>
      <c r="DQ25" s="176">
        <f t="shared" si="15"/>
        <v>0</v>
      </c>
      <c r="DR25" s="176">
        <f t="shared" si="15"/>
        <v>0</v>
      </c>
      <c r="DS25" s="176">
        <f t="shared" si="15"/>
        <v>0</v>
      </c>
      <c r="DT25" s="176">
        <f t="shared" si="15"/>
        <v>0</v>
      </c>
      <c r="DU25" s="176">
        <f t="shared" si="15"/>
        <v>0</v>
      </c>
      <c r="DV25" s="176">
        <f t="shared" si="15"/>
        <v>0</v>
      </c>
      <c r="DW25" s="176">
        <f t="shared" si="15"/>
        <v>0</v>
      </c>
      <c r="DX25" s="176">
        <f t="shared" si="15"/>
        <v>0</v>
      </c>
      <c r="DY25" s="176">
        <f t="shared" si="15"/>
        <v>0</v>
      </c>
      <c r="DZ25" s="176">
        <f t="shared" si="15"/>
        <v>0</v>
      </c>
      <c r="EA25" s="176">
        <f t="shared" si="15"/>
        <v>0</v>
      </c>
      <c r="EB25" s="176">
        <f t="shared" ref="EB25:FR25" si="16">SUM(EB20:EB24)</f>
        <v>0</v>
      </c>
      <c r="EC25" s="176">
        <f t="shared" si="16"/>
        <v>0</v>
      </c>
      <c r="ED25" s="176">
        <f t="shared" si="16"/>
        <v>0</v>
      </c>
      <c r="EE25" s="176">
        <f t="shared" si="16"/>
        <v>0</v>
      </c>
      <c r="EF25" s="176">
        <f t="shared" si="16"/>
        <v>0</v>
      </c>
      <c r="EG25" s="176">
        <f t="shared" si="16"/>
        <v>0</v>
      </c>
      <c r="EH25" s="176">
        <f t="shared" si="16"/>
        <v>0</v>
      </c>
      <c r="EI25" s="176">
        <f t="shared" si="16"/>
        <v>0</v>
      </c>
      <c r="EJ25" s="176">
        <f t="shared" si="16"/>
        <v>0</v>
      </c>
      <c r="EK25" s="176">
        <f t="shared" si="16"/>
        <v>0</v>
      </c>
      <c r="EL25" s="176">
        <f t="shared" si="16"/>
        <v>0</v>
      </c>
      <c r="EM25" s="176">
        <f t="shared" si="16"/>
        <v>0</v>
      </c>
      <c r="EN25" s="176">
        <f t="shared" si="16"/>
        <v>0</v>
      </c>
      <c r="EO25" s="176">
        <f t="shared" si="16"/>
        <v>0</v>
      </c>
      <c r="EP25" s="176">
        <f t="shared" si="16"/>
        <v>0</v>
      </c>
      <c r="EQ25" s="176">
        <f t="shared" si="16"/>
        <v>0</v>
      </c>
      <c r="ER25" s="176">
        <f t="shared" si="16"/>
        <v>0</v>
      </c>
      <c r="ES25" s="176">
        <f t="shared" si="16"/>
        <v>0</v>
      </c>
      <c r="ET25" s="176">
        <f t="shared" si="16"/>
        <v>0</v>
      </c>
      <c r="EU25" s="176">
        <f t="shared" si="16"/>
        <v>0</v>
      </c>
      <c r="EV25" s="176">
        <f t="shared" si="16"/>
        <v>0</v>
      </c>
      <c r="EW25" s="176">
        <f t="shared" si="16"/>
        <v>0</v>
      </c>
      <c r="EX25" s="176">
        <f t="shared" si="16"/>
        <v>0</v>
      </c>
      <c r="EY25" s="176">
        <f t="shared" si="16"/>
        <v>0</v>
      </c>
      <c r="EZ25" s="176">
        <f t="shared" si="16"/>
        <v>0</v>
      </c>
      <c r="FA25" s="176">
        <f t="shared" si="16"/>
        <v>0</v>
      </c>
      <c r="FB25" s="176">
        <f t="shared" si="16"/>
        <v>0</v>
      </c>
      <c r="FC25" s="176">
        <f t="shared" si="16"/>
        <v>0</v>
      </c>
      <c r="FD25" s="176">
        <f t="shared" si="16"/>
        <v>0</v>
      </c>
      <c r="FE25" s="176">
        <f t="shared" si="16"/>
        <v>0</v>
      </c>
      <c r="FF25" s="176">
        <f t="shared" si="16"/>
        <v>0</v>
      </c>
      <c r="FG25" s="176">
        <f t="shared" si="16"/>
        <v>0</v>
      </c>
      <c r="FH25" s="176">
        <f t="shared" si="16"/>
        <v>0</v>
      </c>
      <c r="FI25" s="176">
        <f t="shared" si="16"/>
        <v>0</v>
      </c>
      <c r="FJ25" s="176">
        <f t="shared" si="16"/>
        <v>0</v>
      </c>
      <c r="FK25" s="176">
        <f t="shared" si="16"/>
        <v>0</v>
      </c>
      <c r="FL25" s="176">
        <f t="shared" si="16"/>
        <v>0</v>
      </c>
      <c r="FM25" s="176">
        <f t="shared" si="16"/>
        <v>0</v>
      </c>
      <c r="FN25" s="176">
        <f t="shared" si="16"/>
        <v>0</v>
      </c>
      <c r="FO25" s="176">
        <f t="shared" si="16"/>
        <v>0</v>
      </c>
      <c r="FP25" s="176">
        <f t="shared" si="16"/>
        <v>0</v>
      </c>
      <c r="FQ25" s="176">
        <f t="shared" si="16"/>
        <v>0</v>
      </c>
      <c r="FR25" s="176">
        <f t="shared" si="16"/>
        <v>0</v>
      </c>
    </row>
    <row r="26" spans="1:174" ht="15" customHeight="1" thickBot="1" x14ac:dyDescent="0.35">
      <c r="A26" s="170"/>
      <c r="B26" s="171" t="s">
        <v>33</v>
      </c>
      <c r="C26" s="177">
        <f>C$25/5</f>
        <v>9</v>
      </c>
      <c r="D26" s="177">
        <f t="shared" ref="D26:BO26" si="17">D$25/5</f>
        <v>0</v>
      </c>
      <c r="E26" s="177">
        <f t="shared" si="17"/>
        <v>0</v>
      </c>
      <c r="F26" s="177">
        <f t="shared" si="17"/>
        <v>0</v>
      </c>
      <c r="G26" s="177">
        <f t="shared" si="17"/>
        <v>0</v>
      </c>
      <c r="H26" s="177">
        <f t="shared" si="17"/>
        <v>0</v>
      </c>
      <c r="I26" s="177">
        <f t="shared" si="17"/>
        <v>0</v>
      </c>
      <c r="J26" s="177">
        <f t="shared" si="17"/>
        <v>0</v>
      </c>
      <c r="K26" s="177">
        <f t="shared" si="17"/>
        <v>0</v>
      </c>
      <c r="L26" s="177">
        <f t="shared" si="17"/>
        <v>0</v>
      </c>
      <c r="M26" s="177">
        <f t="shared" si="17"/>
        <v>0</v>
      </c>
      <c r="N26" s="177">
        <f t="shared" si="17"/>
        <v>0</v>
      </c>
      <c r="O26" s="177">
        <f t="shared" si="17"/>
        <v>0</v>
      </c>
      <c r="P26" s="177">
        <f t="shared" si="17"/>
        <v>0</v>
      </c>
      <c r="Q26" s="177">
        <f t="shared" si="17"/>
        <v>0</v>
      </c>
      <c r="R26" s="177">
        <f t="shared" si="17"/>
        <v>0</v>
      </c>
      <c r="S26" s="177">
        <f t="shared" si="17"/>
        <v>0</v>
      </c>
      <c r="T26" s="177">
        <f t="shared" si="17"/>
        <v>0</v>
      </c>
      <c r="U26" s="177">
        <f t="shared" si="17"/>
        <v>0</v>
      </c>
      <c r="V26" s="177">
        <f t="shared" si="17"/>
        <v>0</v>
      </c>
      <c r="W26" s="177">
        <f t="shared" si="17"/>
        <v>0</v>
      </c>
      <c r="X26" s="177">
        <f t="shared" si="17"/>
        <v>0</v>
      </c>
      <c r="Y26" s="177">
        <f t="shared" si="17"/>
        <v>0</v>
      </c>
      <c r="Z26" s="177">
        <f t="shared" si="17"/>
        <v>0</v>
      </c>
      <c r="AA26" s="177">
        <f t="shared" si="17"/>
        <v>0</v>
      </c>
      <c r="AB26" s="177">
        <f t="shared" si="17"/>
        <v>0</v>
      </c>
      <c r="AC26" s="177">
        <f t="shared" si="17"/>
        <v>0</v>
      </c>
      <c r="AD26" s="177">
        <f t="shared" si="17"/>
        <v>0</v>
      </c>
      <c r="AE26" s="177">
        <f t="shared" si="17"/>
        <v>0</v>
      </c>
      <c r="AF26" s="177">
        <f t="shared" si="17"/>
        <v>0</v>
      </c>
      <c r="AG26" s="177">
        <f t="shared" si="17"/>
        <v>0</v>
      </c>
      <c r="AH26" s="177">
        <f t="shared" si="17"/>
        <v>0</v>
      </c>
      <c r="AI26" s="177">
        <f t="shared" si="17"/>
        <v>0</v>
      </c>
      <c r="AJ26" s="177">
        <f t="shared" si="17"/>
        <v>0</v>
      </c>
      <c r="AK26" s="177">
        <f t="shared" si="17"/>
        <v>0</v>
      </c>
      <c r="AL26" s="177">
        <f t="shared" si="17"/>
        <v>0</v>
      </c>
      <c r="AM26" s="177">
        <f t="shared" si="17"/>
        <v>0</v>
      </c>
      <c r="AN26" s="177">
        <f t="shared" si="17"/>
        <v>0</v>
      </c>
      <c r="AO26" s="177">
        <f t="shared" si="17"/>
        <v>0</v>
      </c>
      <c r="AP26" s="177">
        <f t="shared" si="17"/>
        <v>0</v>
      </c>
      <c r="AQ26" s="177">
        <f t="shared" si="17"/>
        <v>0</v>
      </c>
      <c r="AR26" s="177">
        <f t="shared" si="17"/>
        <v>0</v>
      </c>
      <c r="AS26" s="177">
        <f t="shared" si="17"/>
        <v>0</v>
      </c>
      <c r="AT26" s="177">
        <f t="shared" si="17"/>
        <v>0</v>
      </c>
      <c r="AU26" s="177">
        <f t="shared" si="17"/>
        <v>0</v>
      </c>
      <c r="AV26" s="177">
        <f t="shared" si="17"/>
        <v>0</v>
      </c>
      <c r="AW26" s="177">
        <f t="shared" si="17"/>
        <v>0</v>
      </c>
      <c r="AX26" s="177">
        <f t="shared" si="17"/>
        <v>0</v>
      </c>
      <c r="AY26" s="177">
        <f t="shared" si="17"/>
        <v>0</v>
      </c>
      <c r="AZ26" s="177">
        <f t="shared" si="17"/>
        <v>0</v>
      </c>
      <c r="BA26" s="177">
        <f t="shared" si="17"/>
        <v>0</v>
      </c>
      <c r="BB26" s="177">
        <f t="shared" si="17"/>
        <v>0</v>
      </c>
      <c r="BC26" s="177">
        <f t="shared" si="17"/>
        <v>0</v>
      </c>
      <c r="BD26" s="177">
        <f t="shared" si="17"/>
        <v>0</v>
      </c>
      <c r="BE26" s="177">
        <f t="shared" si="17"/>
        <v>0</v>
      </c>
      <c r="BF26" s="177">
        <f t="shared" si="17"/>
        <v>0</v>
      </c>
      <c r="BG26" s="177">
        <f t="shared" si="17"/>
        <v>0</v>
      </c>
      <c r="BH26" s="177">
        <f t="shared" si="17"/>
        <v>0</v>
      </c>
      <c r="BI26" s="177">
        <f t="shared" si="17"/>
        <v>0</v>
      </c>
      <c r="BJ26" s="177">
        <f t="shared" si="17"/>
        <v>0</v>
      </c>
      <c r="BK26" s="177">
        <f t="shared" si="17"/>
        <v>0</v>
      </c>
      <c r="BL26" s="177">
        <f t="shared" si="17"/>
        <v>0</v>
      </c>
      <c r="BM26" s="177">
        <f t="shared" si="17"/>
        <v>0</v>
      </c>
      <c r="BN26" s="177">
        <f t="shared" si="17"/>
        <v>0</v>
      </c>
      <c r="BO26" s="177">
        <f t="shared" si="17"/>
        <v>0</v>
      </c>
      <c r="BP26" s="177">
        <f t="shared" ref="BP26:EA26" si="18">BP$25/5</f>
        <v>0</v>
      </c>
      <c r="BQ26" s="177">
        <f t="shared" si="18"/>
        <v>0</v>
      </c>
      <c r="BR26" s="177">
        <f t="shared" si="18"/>
        <v>0</v>
      </c>
      <c r="BS26" s="177">
        <f t="shared" si="18"/>
        <v>0</v>
      </c>
      <c r="BT26" s="177">
        <f t="shared" si="18"/>
        <v>0</v>
      </c>
      <c r="BU26" s="177">
        <f t="shared" si="18"/>
        <v>0</v>
      </c>
      <c r="BV26" s="177">
        <f t="shared" si="18"/>
        <v>0</v>
      </c>
      <c r="BW26" s="177">
        <f t="shared" si="18"/>
        <v>0</v>
      </c>
      <c r="BX26" s="177">
        <f t="shared" si="18"/>
        <v>0</v>
      </c>
      <c r="BY26" s="177">
        <f t="shared" si="18"/>
        <v>0</v>
      </c>
      <c r="BZ26" s="177">
        <f t="shared" si="18"/>
        <v>0</v>
      </c>
      <c r="CA26" s="177">
        <f t="shared" si="18"/>
        <v>0</v>
      </c>
      <c r="CB26" s="177">
        <f t="shared" si="18"/>
        <v>0</v>
      </c>
      <c r="CC26" s="177">
        <f t="shared" si="18"/>
        <v>0</v>
      </c>
      <c r="CD26" s="177">
        <f t="shared" si="18"/>
        <v>0</v>
      </c>
      <c r="CE26" s="177">
        <f t="shared" si="18"/>
        <v>0</v>
      </c>
      <c r="CF26" s="177">
        <f t="shared" si="18"/>
        <v>0</v>
      </c>
      <c r="CG26" s="177">
        <f t="shared" si="18"/>
        <v>0</v>
      </c>
      <c r="CH26" s="177">
        <f t="shared" si="18"/>
        <v>0</v>
      </c>
      <c r="CI26" s="177">
        <f t="shared" si="18"/>
        <v>0</v>
      </c>
      <c r="CJ26" s="177">
        <f t="shared" si="18"/>
        <v>0</v>
      </c>
      <c r="CK26" s="177">
        <f t="shared" si="18"/>
        <v>0</v>
      </c>
      <c r="CL26" s="177">
        <f t="shared" si="18"/>
        <v>0</v>
      </c>
      <c r="CM26" s="177">
        <f t="shared" si="18"/>
        <v>0</v>
      </c>
      <c r="CN26" s="177">
        <f t="shared" si="18"/>
        <v>0</v>
      </c>
      <c r="CO26" s="177">
        <f t="shared" si="18"/>
        <v>0</v>
      </c>
      <c r="CP26" s="177">
        <f t="shared" si="18"/>
        <v>0</v>
      </c>
      <c r="CQ26" s="177">
        <f t="shared" si="18"/>
        <v>0</v>
      </c>
      <c r="CR26" s="177">
        <f t="shared" si="18"/>
        <v>0</v>
      </c>
      <c r="CS26" s="177">
        <f t="shared" si="18"/>
        <v>0</v>
      </c>
      <c r="CT26" s="177">
        <f t="shared" si="18"/>
        <v>0</v>
      </c>
      <c r="CU26" s="177">
        <f t="shared" si="18"/>
        <v>0</v>
      </c>
      <c r="CV26" s="177">
        <f t="shared" si="18"/>
        <v>0</v>
      </c>
      <c r="CW26" s="177">
        <f t="shared" si="18"/>
        <v>0</v>
      </c>
      <c r="CX26" s="177">
        <f t="shared" si="18"/>
        <v>0</v>
      </c>
      <c r="CY26" s="177">
        <f t="shared" si="18"/>
        <v>0</v>
      </c>
      <c r="CZ26" s="177">
        <f t="shared" si="18"/>
        <v>0</v>
      </c>
      <c r="DA26" s="177">
        <f t="shared" si="18"/>
        <v>0</v>
      </c>
      <c r="DB26" s="177">
        <f t="shared" si="18"/>
        <v>0</v>
      </c>
      <c r="DC26" s="177">
        <f t="shared" si="18"/>
        <v>0</v>
      </c>
      <c r="DD26" s="177">
        <f t="shared" si="18"/>
        <v>0</v>
      </c>
      <c r="DE26" s="177">
        <f t="shared" si="18"/>
        <v>0</v>
      </c>
      <c r="DF26" s="177">
        <f t="shared" si="18"/>
        <v>0</v>
      </c>
      <c r="DG26" s="177">
        <f t="shared" si="18"/>
        <v>0</v>
      </c>
      <c r="DH26" s="177">
        <f t="shared" si="18"/>
        <v>0</v>
      </c>
      <c r="DI26" s="177">
        <f t="shared" si="18"/>
        <v>0</v>
      </c>
      <c r="DJ26" s="177">
        <f t="shared" si="18"/>
        <v>0</v>
      </c>
      <c r="DK26" s="177">
        <f t="shared" si="18"/>
        <v>0</v>
      </c>
      <c r="DL26" s="177">
        <f t="shared" si="18"/>
        <v>0</v>
      </c>
      <c r="DM26" s="177">
        <f t="shared" si="18"/>
        <v>0</v>
      </c>
      <c r="DN26" s="177">
        <f t="shared" si="18"/>
        <v>0</v>
      </c>
      <c r="DO26" s="177">
        <f t="shared" si="18"/>
        <v>0</v>
      </c>
      <c r="DP26" s="177">
        <f t="shared" si="18"/>
        <v>0</v>
      </c>
      <c r="DQ26" s="177">
        <f t="shared" si="18"/>
        <v>0</v>
      </c>
      <c r="DR26" s="177">
        <f t="shared" si="18"/>
        <v>0</v>
      </c>
      <c r="DS26" s="177">
        <f t="shared" si="18"/>
        <v>0</v>
      </c>
      <c r="DT26" s="177">
        <f t="shared" si="18"/>
        <v>0</v>
      </c>
      <c r="DU26" s="177">
        <f t="shared" si="18"/>
        <v>0</v>
      </c>
      <c r="DV26" s="177">
        <f t="shared" si="18"/>
        <v>0</v>
      </c>
      <c r="DW26" s="177">
        <f t="shared" si="18"/>
        <v>0</v>
      </c>
      <c r="DX26" s="177">
        <f t="shared" si="18"/>
        <v>0</v>
      </c>
      <c r="DY26" s="177">
        <f t="shared" si="18"/>
        <v>0</v>
      </c>
      <c r="DZ26" s="177">
        <f t="shared" si="18"/>
        <v>0</v>
      </c>
      <c r="EA26" s="177">
        <f t="shared" si="18"/>
        <v>0</v>
      </c>
      <c r="EB26" s="177">
        <f t="shared" ref="EB26:FR26" si="19">EB$25/5</f>
        <v>0</v>
      </c>
      <c r="EC26" s="177">
        <f t="shared" si="19"/>
        <v>0</v>
      </c>
      <c r="ED26" s="177">
        <f t="shared" si="19"/>
        <v>0</v>
      </c>
      <c r="EE26" s="177">
        <f t="shared" si="19"/>
        <v>0</v>
      </c>
      <c r="EF26" s="177">
        <f t="shared" si="19"/>
        <v>0</v>
      </c>
      <c r="EG26" s="177">
        <f t="shared" si="19"/>
        <v>0</v>
      </c>
      <c r="EH26" s="177">
        <f t="shared" si="19"/>
        <v>0</v>
      </c>
      <c r="EI26" s="177">
        <f t="shared" si="19"/>
        <v>0</v>
      </c>
      <c r="EJ26" s="177">
        <f t="shared" si="19"/>
        <v>0</v>
      </c>
      <c r="EK26" s="177">
        <f t="shared" si="19"/>
        <v>0</v>
      </c>
      <c r="EL26" s="177">
        <f t="shared" si="19"/>
        <v>0</v>
      </c>
      <c r="EM26" s="177">
        <f t="shared" si="19"/>
        <v>0</v>
      </c>
      <c r="EN26" s="177">
        <f t="shared" si="19"/>
        <v>0</v>
      </c>
      <c r="EO26" s="177">
        <f t="shared" si="19"/>
        <v>0</v>
      </c>
      <c r="EP26" s="177">
        <f t="shared" si="19"/>
        <v>0</v>
      </c>
      <c r="EQ26" s="177">
        <f t="shared" si="19"/>
        <v>0</v>
      </c>
      <c r="ER26" s="177">
        <f t="shared" si="19"/>
        <v>0</v>
      </c>
      <c r="ES26" s="177">
        <f t="shared" si="19"/>
        <v>0</v>
      </c>
      <c r="ET26" s="177">
        <f t="shared" si="19"/>
        <v>0</v>
      </c>
      <c r="EU26" s="177">
        <f t="shared" si="19"/>
        <v>0</v>
      </c>
      <c r="EV26" s="177">
        <f t="shared" si="19"/>
        <v>0</v>
      </c>
      <c r="EW26" s="177">
        <f t="shared" si="19"/>
        <v>0</v>
      </c>
      <c r="EX26" s="177">
        <f t="shared" si="19"/>
        <v>0</v>
      </c>
      <c r="EY26" s="177">
        <f t="shared" si="19"/>
        <v>0</v>
      </c>
      <c r="EZ26" s="177">
        <f t="shared" si="19"/>
        <v>0</v>
      </c>
      <c r="FA26" s="177">
        <f t="shared" si="19"/>
        <v>0</v>
      </c>
      <c r="FB26" s="177">
        <f t="shared" si="19"/>
        <v>0</v>
      </c>
      <c r="FC26" s="177">
        <f t="shared" si="19"/>
        <v>0</v>
      </c>
      <c r="FD26" s="177">
        <f t="shared" si="19"/>
        <v>0</v>
      </c>
      <c r="FE26" s="177">
        <f t="shared" si="19"/>
        <v>0</v>
      </c>
      <c r="FF26" s="177">
        <f t="shared" si="19"/>
        <v>0</v>
      </c>
      <c r="FG26" s="177">
        <f t="shared" si="19"/>
        <v>0</v>
      </c>
      <c r="FH26" s="177">
        <f t="shared" si="19"/>
        <v>0</v>
      </c>
      <c r="FI26" s="177">
        <f t="shared" si="19"/>
        <v>0</v>
      </c>
      <c r="FJ26" s="177">
        <f t="shared" si="19"/>
        <v>0</v>
      </c>
      <c r="FK26" s="177">
        <f t="shared" si="19"/>
        <v>0</v>
      </c>
      <c r="FL26" s="177">
        <f t="shared" si="19"/>
        <v>0</v>
      </c>
      <c r="FM26" s="177">
        <f t="shared" si="19"/>
        <v>0</v>
      </c>
      <c r="FN26" s="177">
        <f t="shared" si="19"/>
        <v>0</v>
      </c>
      <c r="FO26" s="177">
        <f t="shared" si="19"/>
        <v>0</v>
      </c>
      <c r="FP26" s="177">
        <f t="shared" si="19"/>
        <v>0</v>
      </c>
      <c r="FQ26" s="177">
        <f t="shared" si="19"/>
        <v>0</v>
      </c>
      <c r="FR26" s="177">
        <f t="shared" si="19"/>
        <v>0</v>
      </c>
    </row>
    <row r="27" spans="1:174" ht="15" customHeight="1" x14ac:dyDescent="0.3">
      <c r="A27" s="126"/>
      <c r="B27" s="172"/>
      <c r="C27" s="173"/>
      <c r="D27" s="173"/>
      <c r="E27" s="173"/>
      <c r="F27" s="173"/>
      <c r="G27" s="173"/>
      <c r="H27" s="173"/>
      <c r="I27" s="173"/>
      <c r="J27" s="173"/>
      <c r="K27" s="173"/>
      <c r="L27" s="173"/>
      <c r="M27" s="173"/>
      <c r="N27" s="173"/>
      <c r="O27" s="173"/>
      <c r="P27" s="173"/>
      <c r="Q27" s="173"/>
      <c r="R27" s="173"/>
      <c r="S27" s="173"/>
      <c r="T27" s="173"/>
      <c r="U27" s="173"/>
      <c r="V27" s="173"/>
      <c r="W27" s="173"/>
      <c r="X27" s="173"/>
      <c r="Y27" s="173"/>
      <c r="Z27" s="173"/>
      <c r="AA27" s="173"/>
      <c r="AB27" s="173"/>
      <c r="AC27" s="173"/>
      <c r="AD27" s="173"/>
      <c r="AE27" s="173"/>
      <c r="AF27" s="173"/>
      <c r="AG27" s="173"/>
      <c r="AH27" s="173"/>
      <c r="AI27" s="173"/>
      <c r="AJ27" s="173"/>
      <c r="AK27" s="173"/>
      <c r="AL27" s="173"/>
      <c r="AM27" s="173"/>
      <c r="AN27" s="173"/>
      <c r="AO27" s="173"/>
      <c r="AP27" s="173"/>
      <c r="AQ27" s="173"/>
      <c r="AR27" s="173"/>
      <c r="AS27" s="173"/>
      <c r="AT27" s="173"/>
      <c r="AU27" s="173"/>
      <c r="AV27" s="173"/>
      <c r="AW27" s="173"/>
      <c r="AX27" s="173"/>
      <c r="AY27" s="173"/>
      <c r="AZ27" s="173"/>
      <c r="BA27" s="173"/>
      <c r="BB27" s="173"/>
      <c r="BC27" s="173"/>
      <c r="BD27" s="173"/>
      <c r="BE27" s="173"/>
      <c r="BF27" s="173"/>
      <c r="BG27" s="173"/>
      <c r="BH27" s="173"/>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c r="CH27" s="173"/>
      <c r="CI27" s="173"/>
      <c r="CJ27" s="173"/>
      <c r="CK27" s="173"/>
      <c r="CL27" s="173"/>
      <c r="CM27" s="173"/>
      <c r="CN27" s="173"/>
      <c r="CO27" s="173"/>
      <c r="CP27" s="173"/>
      <c r="CQ27" s="173"/>
      <c r="CR27" s="173"/>
      <c r="CS27" s="173"/>
      <c r="CT27" s="173"/>
      <c r="CU27" s="173"/>
      <c r="CV27" s="173"/>
      <c r="CW27" s="173"/>
      <c r="CX27" s="173"/>
      <c r="CY27" s="173"/>
      <c r="CZ27" s="173"/>
      <c r="DA27" s="173"/>
      <c r="DB27" s="173"/>
      <c r="DC27" s="173"/>
      <c r="DD27" s="173"/>
      <c r="DE27" s="173"/>
      <c r="DF27" s="173"/>
      <c r="DG27" s="173"/>
      <c r="DH27" s="173"/>
      <c r="DI27" s="173"/>
      <c r="DJ27" s="173"/>
      <c r="DK27" s="173"/>
      <c r="DL27" s="173"/>
      <c r="DM27" s="173"/>
      <c r="DN27" s="173"/>
      <c r="DO27" s="173"/>
      <c r="DP27" s="173"/>
      <c r="DQ27" s="173"/>
      <c r="DR27" s="173"/>
      <c r="DS27" s="173"/>
      <c r="DT27" s="173"/>
      <c r="DU27" s="173"/>
      <c r="DV27" s="173"/>
      <c r="DW27" s="173"/>
      <c r="DX27" s="173"/>
      <c r="DY27" s="173"/>
      <c r="DZ27" s="173"/>
      <c r="EA27" s="173"/>
      <c r="EB27" s="173"/>
      <c r="EC27" s="173"/>
      <c r="ED27" s="173"/>
      <c r="EE27" s="173"/>
      <c r="EF27" s="173"/>
      <c r="EG27" s="173"/>
      <c r="EH27" s="173"/>
      <c r="EI27" s="173"/>
      <c r="EJ27" s="173"/>
      <c r="EK27" s="173"/>
      <c r="EL27" s="173"/>
      <c r="EM27" s="173"/>
      <c r="EN27" s="173"/>
      <c r="EO27" s="173"/>
      <c r="EP27" s="173"/>
      <c r="EQ27" s="173"/>
      <c r="ER27" s="173"/>
      <c r="ES27" s="173"/>
      <c r="ET27" s="173"/>
      <c r="EU27" s="173"/>
      <c r="EV27" s="173"/>
      <c r="EW27" s="173"/>
      <c r="EX27" s="173"/>
      <c r="EY27" s="173"/>
      <c r="EZ27" s="173"/>
      <c r="FA27" s="173"/>
      <c r="FB27" s="173"/>
      <c r="FC27" s="173"/>
      <c r="FD27" s="173"/>
      <c r="FE27" s="173"/>
      <c r="FF27" s="173"/>
      <c r="FG27" s="173"/>
      <c r="FH27" s="173"/>
      <c r="FI27" s="173"/>
      <c r="FJ27" s="173"/>
      <c r="FK27" s="173"/>
      <c r="FL27" s="173"/>
      <c r="FM27" s="173"/>
      <c r="FN27" s="173"/>
      <c r="FO27" s="173"/>
      <c r="FP27" s="173"/>
      <c r="FQ27" s="173"/>
      <c r="FR27" s="173"/>
    </row>
    <row r="28" spans="1:174" ht="14.4" thickBot="1" x14ac:dyDescent="0.35">
      <c r="A28" s="123">
        <v>1.2</v>
      </c>
      <c r="B28" s="124" t="s">
        <v>10</v>
      </c>
    </row>
    <row r="29" spans="1:174" ht="25.05" customHeight="1" x14ac:dyDescent="0.3">
      <c r="A29" s="164" t="s">
        <v>22</v>
      </c>
      <c r="B29" s="165" t="s">
        <v>34</v>
      </c>
      <c r="C29" s="125">
        <v>7</v>
      </c>
      <c r="D29" s="125"/>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c r="BP29" s="125"/>
      <c r="BQ29" s="125"/>
      <c r="BR29" s="125"/>
      <c r="BS29" s="125"/>
      <c r="BT29" s="125"/>
      <c r="BU29" s="125"/>
      <c r="BV29" s="125"/>
      <c r="BW29" s="125"/>
      <c r="BX29" s="125"/>
      <c r="BY29" s="125"/>
      <c r="BZ29" s="125"/>
      <c r="CA29" s="125"/>
      <c r="CB29" s="125"/>
      <c r="CC29" s="125"/>
      <c r="CD29" s="125"/>
      <c r="CE29" s="125"/>
      <c r="CF29" s="125"/>
      <c r="CG29" s="125"/>
      <c r="CH29" s="125"/>
      <c r="CI29" s="125"/>
      <c r="CJ29" s="125"/>
      <c r="CK29" s="125"/>
      <c r="CL29" s="125"/>
      <c r="CM29" s="125"/>
      <c r="CN29" s="125"/>
      <c r="CO29" s="125"/>
      <c r="CP29" s="125"/>
      <c r="CQ29" s="125"/>
      <c r="CR29" s="125"/>
      <c r="CS29" s="125"/>
      <c r="CT29" s="125"/>
      <c r="CU29" s="125"/>
      <c r="CV29" s="125"/>
      <c r="CW29" s="125"/>
      <c r="CX29" s="125"/>
      <c r="CY29" s="125"/>
      <c r="CZ29" s="125"/>
      <c r="DA29" s="125"/>
      <c r="DB29" s="125"/>
      <c r="DC29" s="125"/>
      <c r="DD29" s="125"/>
      <c r="DE29" s="125"/>
      <c r="DF29" s="125"/>
      <c r="DG29" s="125"/>
      <c r="DH29" s="125"/>
      <c r="DI29" s="125"/>
      <c r="DJ29" s="125"/>
      <c r="DK29" s="125"/>
      <c r="DL29" s="125"/>
      <c r="DM29" s="125"/>
      <c r="DN29" s="125"/>
      <c r="DO29" s="125"/>
      <c r="DP29" s="125"/>
      <c r="DQ29" s="125"/>
      <c r="DR29" s="125"/>
      <c r="DS29" s="125"/>
      <c r="DT29" s="125"/>
      <c r="DU29" s="125"/>
      <c r="DV29" s="125"/>
      <c r="DW29" s="125"/>
      <c r="DX29" s="125"/>
      <c r="DY29" s="125"/>
      <c r="DZ29" s="125"/>
      <c r="EA29" s="125"/>
      <c r="EB29" s="125"/>
      <c r="EC29" s="125"/>
      <c r="ED29" s="125"/>
      <c r="EE29" s="125"/>
      <c r="EF29" s="125"/>
      <c r="EG29" s="125"/>
      <c r="EH29" s="125"/>
      <c r="EI29" s="125"/>
      <c r="EJ29" s="125"/>
      <c r="EK29" s="125"/>
      <c r="EL29" s="125"/>
      <c r="EM29" s="125"/>
      <c r="EN29" s="125"/>
      <c r="EO29" s="125"/>
      <c r="EP29" s="125"/>
      <c r="EQ29" s="125"/>
      <c r="ER29" s="125"/>
      <c r="ES29" s="125"/>
      <c r="ET29" s="125"/>
      <c r="EU29" s="125"/>
      <c r="EV29" s="125"/>
      <c r="EW29" s="125"/>
      <c r="EX29" s="125"/>
      <c r="EY29" s="125"/>
      <c r="EZ29" s="125"/>
      <c r="FA29" s="125"/>
      <c r="FB29" s="125"/>
      <c r="FC29" s="125"/>
      <c r="FD29" s="125"/>
      <c r="FE29" s="125"/>
      <c r="FF29" s="125"/>
      <c r="FG29" s="125"/>
      <c r="FH29" s="125"/>
      <c r="FI29" s="125"/>
      <c r="FJ29" s="125"/>
      <c r="FK29" s="125"/>
      <c r="FL29" s="125"/>
      <c r="FM29" s="125"/>
      <c r="FN29" s="125"/>
      <c r="FO29" s="125"/>
      <c r="FP29" s="125"/>
      <c r="FQ29" s="125"/>
      <c r="FR29" s="125"/>
    </row>
    <row r="30" spans="1:174" ht="25.05" customHeight="1" x14ac:dyDescent="0.3">
      <c r="A30" s="166" t="s">
        <v>24</v>
      </c>
      <c r="B30" s="167" t="s">
        <v>35</v>
      </c>
      <c r="C30" s="125">
        <v>7</v>
      </c>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c r="BP30" s="125"/>
      <c r="BQ30" s="125"/>
      <c r="BR30" s="125"/>
      <c r="BS30" s="125"/>
      <c r="BT30" s="125"/>
      <c r="BU30" s="125"/>
      <c r="BV30" s="125"/>
      <c r="BW30" s="125"/>
      <c r="BX30" s="125"/>
      <c r="BY30" s="125"/>
      <c r="BZ30" s="125"/>
      <c r="CA30" s="125"/>
      <c r="CB30" s="125"/>
      <c r="CC30" s="125"/>
      <c r="CD30" s="125"/>
      <c r="CE30" s="125"/>
      <c r="CF30" s="125"/>
      <c r="CG30" s="125"/>
      <c r="CH30" s="125"/>
      <c r="CI30" s="125"/>
      <c r="CJ30" s="125"/>
      <c r="CK30" s="125"/>
      <c r="CL30" s="125"/>
      <c r="CM30" s="125"/>
      <c r="CN30" s="125"/>
      <c r="CO30" s="125"/>
      <c r="CP30" s="125"/>
      <c r="CQ30" s="125"/>
      <c r="CR30" s="125"/>
      <c r="CS30" s="125"/>
      <c r="CT30" s="125"/>
      <c r="CU30" s="125"/>
      <c r="CV30" s="125"/>
      <c r="CW30" s="125"/>
      <c r="CX30" s="125"/>
      <c r="CY30" s="125"/>
      <c r="CZ30" s="125"/>
      <c r="DA30" s="125"/>
      <c r="DB30" s="125"/>
      <c r="DC30" s="125"/>
      <c r="DD30" s="125"/>
      <c r="DE30" s="125"/>
      <c r="DF30" s="125"/>
      <c r="DG30" s="125"/>
      <c r="DH30" s="125"/>
      <c r="DI30" s="125"/>
      <c r="DJ30" s="125"/>
      <c r="DK30" s="125"/>
      <c r="DL30" s="125"/>
      <c r="DM30" s="125"/>
      <c r="DN30" s="125"/>
      <c r="DO30" s="125"/>
      <c r="DP30" s="125"/>
      <c r="DQ30" s="125"/>
      <c r="DR30" s="125"/>
      <c r="DS30" s="125"/>
      <c r="DT30" s="125"/>
      <c r="DU30" s="125"/>
      <c r="DV30" s="125"/>
      <c r="DW30" s="125"/>
      <c r="DX30" s="125"/>
      <c r="DY30" s="125"/>
      <c r="DZ30" s="125"/>
      <c r="EA30" s="125"/>
      <c r="EB30" s="125"/>
      <c r="EC30" s="125"/>
      <c r="ED30" s="125"/>
      <c r="EE30" s="125"/>
      <c r="EF30" s="125"/>
      <c r="EG30" s="125"/>
      <c r="EH30" s="125"/>
      <c r="EI30" s="125"/>
      <c r="EJ30" s="125"/>
      <c r="EK30" s="125"/>
      <c r="EL30" s="125"/>
      <c r="EM30" s="125"/>
      <c r="EN30" s="125"/>
      <c r="EO30" s="125"/>
      <c r="EP30" s="125"/>
      <c r="EQ30" s="125"/>
      <c r="ER30" s="125"/>
      <c r="ES30" s="125"/>
      <c r="ET30" s="125"/>
      <c r="EU30" s="125"/>
      <c r="EV30" s="125"/>
      <c r="EW30" s="125"/>
      <c r="EX30" s="125"/>
      <c r="EY30" s="125"/>
      <c r="EZ30" s="125"/>
      <c r="FA30" s="125"/>
      <c r="FB30" s="125"/>
      <c r="FC30" s="125"/>
      <c r="FD30" s="125"/>
      <c r="FE30" s="125"/>
      <c r="FF30" s="125"/>
      <c r="FG30" s="125"/>
      <c r="FH30" s="125"/>
      <c r="FI30" s="125"/>
      <c r="FJ30" s="125"/>
      <c r="FK30" s="125"/>
      <c r="FL30" s="125"/>
      <c r="FM30" s="125"/>
      <c r="FN30" s="125"/>
      <c r="FO30" s="125"/>
      <c r="FP30" s="125"/>
      <c r="FQ30" s="125"/>
      <c r="FR30" s="125"/>
    </row>
    <row r="31" spans="1:174" ht="25.05" customHeight="1" x14ac:dyDescent="0.3">
      <c r="A31" s="166" t="s">
        <v>26</v>
      </c>
      <c r="B31" s="167" t="s">
        <v>36</v>
      </c>
      <c r="C31" s="125">
        <v>7</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c r="BP31" s="125"/>
      <c r="BQ31" s="125"/>
      <c r="BR31" s="125"/>
      <c r="BS31" s="125"/>
      <c r="BT31" s="125"/>
      <c r="BU31" s="125"/>
      <c r="BV31" s="125"/>
      <c r="BW31" s="125"/>
      <c r="BX31" s="125"/>
      <c r="BY31" s="125"/>
      <c r="BZ31" s="125"/>
      <c r="CA31" s="125"/>
      <c r="CB31" s="125"/>
      <c r="CC31" s="125"/>
      <c r="CD31" s="125"/>
      <c r="CE31" s="125"/>
      <c r="CF31" s="125"/>
      <c r="CG31" s="125"/>
      <c r="CH31" s="125"/>
      <c r="CI31" s="125"/>
      <c r="CJ31" s="125"/>
      <c r="CK31" s="125"/>
      <c r="CL31" s="125"/>
      <c r="CM31" s="125"/>
      <c r="CN31" s="125"/>
      <c r="CO31" s="125"/>
      <c r="CP31" s="125"/>
      <c r="CQ31" s="125"/>
      <c r="CR31" s="125"/>
      <c r="CS31" s="125"/>
      <c r="CT31" s="125"/>
      <c r="CU31" s="125"/>
      <c r="CV31" s="125"/>
      <c r="CW31" s="125"/>
      <c r="CX31" s="125"/>
      <c r="CY31" s="125"/>
      <c r="CZ31" s="125"/>
      <c r="DA31" s="125"/>
      <c r="DB31" s="125"/>
      <c r="DC31" s="125"/>
      <c r="DD31" s="125"/>
      <c r="DE31" s="125"/>
      <c r="DF31" s="125"/>
      <c r="DG31" s="125"/>
      <c r="DH31" s="125"/>
      <c r="DI31" s="125"/>
      <c r="DJ31" s="125"/>
      <c r="DK31" s="125"/>
      <c r="DL31" s="125"/>
      <c r="DM31" s="125"/>
      <c r="DN31" s="125"/>
      <c r="DO31" s="125"/>
      <c r="DP31" s="125"/>
      <c r="DQ31" s="125"/>
      <c r="DR31" s="125"/>
      <c r="DS31" s="125"/>
      <c r="DT31" s="125"/>
      <c r="DU31" s="125"/>
      <c r="DV31" s="125"/>
      <c r="DW31" s="125"/>
      <c r="DX31" s="125"/>
      <c r="DY31" s="125"/>
      <c r="DZ31" s="125"/>
      <c r="EA31" s="125"/>
      <c r="EB31" s="125"/>
      <c r="EC31" s="125"/>
      <c r="ED31" s="125"/>
      <c r="EE31" s="125"/>
      <c r="EF31" s="125"/>
      <c r="EG31" s="125"/>
      <c r="EH31" s="125"/>
      <c r="EI31" s="125"/>
      <c r="EJ31" s="125"/>
      <c r="EK31" s="125"/>
      <c r="EL31" s="125"/>
      <c r="EM31" s="125"/>
      <c r="EN31" s="125"/>
      <c r="EO31" s="125"/>
      <c r="EP31" s="125"/>
      <c r="EQ31" s="125"/>
      <c r="ER31" s="125"/>
      <c r="ES31" s="125"/>
      <c r="ET31" s="125"/>
      <c r="EU31" s="125"/>
      <c r="EV31" s="125"/>
      <c r="EW31" s="125"/>
      <c r="EX31" s="125"/>
      <c r="EY31" s="125"/>
      <c r="EZ31" s="125"/>
      <c r="FA31" s="125"/>
      <c r="FB31" s="125"/>
      <c r="FC31" s="125"/>
      <c r="FD31" s="125"/>
      <c r="FE31" s="125"/>
      <c r="FF31" s="125"/>
      <c r="FG31" s="125"/>
      <c r="FH31" s="125"/>
      <c r="FI31" s="125"/>
      <c r="FJ31" s="125"/>
      <c r="FK31" s="125"/>
      <c r="FL31" s="125"/>
      <c r="FM31" s="125"/>
      <c r="FN31" s="125"/>
      <c r="FO31" s="125"/>
      <c r="FP31" s="125"/>
      <c r="FQ31" s="125"/>
      <c r="FR31" s="125"/>
    </row>
    <row r="32" spans="1:174" ht="15" customHeight="1" x14ac:dyDescent="0.3">
      <c r="A32" s="168"/>
      <c r="B32" s="174" t="s">
        <v>32</v>
      </c>
      <c r="C32" s="176">
        <f>SUM(C29:C31)</f>
        <v>21</v>
      </c>
      <c r="D32" s="176">
        <f t="shared" ref="D32:BO32" si="20">SUM(D29:D31)</f>
        <v>0</v>
      </c>
      <c r="E32" s="176">
        <f t="shared" si="20"/>
        <v>0</v>
      </c>
      <c r="F32" s="176">
        <f t="shared" si="20"/>
        <v>0</v>
      </c>
      <c r="G32" s="176">
        <f t="shared" si="20"/>
        <v>0</v>
      </c>
      <c r="H32" s="176">
        <f t="shared" si="20"/>
        <v>0</v>
      </c>
      <c r="I32" s="176">
        <f t="shared" si="20"/>
        <v>0</v>
      </c>
      <c r="J32" s="176">
        <f t="shared" si="20"/>
        <v>0</v>
      </c>
      <c r="K32" s="176">
        <f t="shared" si="20"/>
        <v>0</v>
      </c>
      <c r="L32" s="176">
        <f t="shared" si="20"/>
        <v>0</v>
      </c>
      <c r="M32" s="176">
        <f t="shared" si="20"/>
        <v>0</v>
      </c>
      <c r="N32" s="176">
        <f t="shared" si="20"/>
        <v>0</v>
      </c>
      <c r="O32" s="176">
        <f t="shared" si="20"/>
        <v>0</v>
      </c>
      <c r="P32" s="176">
        <f t="shared" si="20"/>
        <v>0</v>
      </c>
      <c r="Q32" s="176">
        <f t="shared" si="20"/>
        <v>0</v>
      </c>
      <c r="R32" s="176">
        <f t="shared" si="20"/>
        <v>0</v>
      </c>
      <c r="S32" s="176">
        <f t="shared" si="20"/>
        <v>0</v>
      </c>
      <c r="T32" s="176">
        <f t="shared" si="20"/>
        <v>0</v>
      </c>
      <c r="U32" s="176">
        <f t="shared" si="20"/>
        <v>0</v>
      </c>
      <c r="V32" s="176">
        <f t="shared" si="20"/>
        <v>0</v>
      </c>
      <c r="W32" s="176">
        <f t="shared" si="20"/>
        <v>0</v>
      </c>
      <c r="X32" s="176">
        <f t="shared" si="20"/>
        <v>0</v>
      </c>
      <c r="Y32" s="176">
        <f t="shared" si="20"/>
        <v>0</v>
      </c>
      <c r="Z32" s="176">
        <f t="shared" si="20"/>
        <v>0</v>
      </c>
      <c r="AA32" s="176">
        <f t="shared" si="20"/>
        <v>0</v>
      </c>
      <c r="AB32" s="176">
        <f t="shared" si="20"/>
        <v>0</v>
      </c>
      <c r="AC32" s="176">
        <f t="shared" si="20"/>
        <v>0</v>
      </c>
      <c r="AD32" s="176">
        <f t="shared" si="20"/>
        <v>0</v>
      </c>
      <c r="AE32" s="176">
        <f t="shared" si="20"/>
        <v>0</v>
      </c>
      <c r="AF32" s="176">
        <f t="shared" si="20"/>
        <v>0</v>
      </c>
      <c r="AG32" s="176">
        <f t="shared" si="20"/>
        <v>0</v>
      </c>
      <c r="AH32" s="176">
        <f t="shared" si="20"/>
        <v>0</v>
      </c>
      <c r="AI32" s="176">
        <f t="shared" si="20"/>
        <v>0</v>
      </c>
      <c r="AJ32" s="176">
        <f t="shared" si="20"/>
        <v>0</v>
      </c>
      <c r="AK32" s="176">
        <f t="shared" si="20"/>
        <v>0</v>
      </c>
      <c r="AL32" s="176">
        <f t="shared" si="20"/>
        <v>0</v>
      </c>
      <c r="AM32" s="176">
        <f t="shared" si="20"/>
        <v>0</v>
      </c>
      <c r="AN32" s="176">
        <f t="shared" si="20"/>
        <v>0</v>
      </c>
      <c r="AO32" s="176">
        <f t="shared" si="20"/>
        <v>0</v>
      </c>
      <c r="AP32" s="176">
        <f t="shared" si="20"/>
        <v>0</v>
      </c>
      <c r="AQ32" s="176">
        <f t="shared" si="20"/>
        <v>0</v>
      </c>
      <c r="AR32" s="176">
        <f t="shared" si="20"/>
        <v>0</v>
      </c>
      <c r="AS32" s="176">
        <f t="shared" si="20"/>
        <v>0</v>
      </c>
      <c r="AT32" s="176">
        <f t="shared" si="20"/>
        <v>0</v>
      </c>
      <c r="AU32" s="176">
        <f t="shared" si="20"/>
        <v>0</v>
      </c>
      <c r="AV32" s="176">
        <f t="shared" si="20"/>
        <v>0</v>
      </c>
      <c r="AW32" s="176">
        <f t="shared" si="20"/>
        <v>0</v>
      </c>
      <c r="AX32" s="176">
        <f t="shared" si="20"/>
        <v>0</v>
      </c>
      <c r="AY32" s="176">
        <f t="shared" si="20"/>
        <v>0</v>
      </c>
      <c r="AZ32" s="176">
        <f t="shared" si="20"/>
        <v>0</v>
      </c>
      <c r="BA32" s="176">
        <f t="shared" si="20"/>
        <v>0</v>
      </c>
      <c r="BB32" s="176">
        <f t="shared" si="20"/>
        <v>0</v>
      </c>
      <c r="BC32" s="176">
        <f t="shared" si="20"/>
        <v>0</v>
      </c>
      <c r="BD32" s="176">
        <f t="shared" si="20"/>
        <v>0</v>
      </c>
      <c r="BE32" s="176">
        <f t="shared" si="20"/>
        <v>0</v>
      </c>
      <c r="BF32" s="176">
        <f t="shared" si="20"/>
        <v>0</v>
      </c>
      <c r="BG32" s="176">
        <f t="shared" si="20"/>
        <v>0</v>
      </c>
      <c r="BH32" s="176">
        <f t="shared" si="20"/>
        <v>0</v>
      </c>
      <c r="BI32" s="176">
        <f t="shared" si="20"/>
        <v>0</v>
      </c>
      <c r="BJ32" s="176">
        <f t="shared" si="20"/>
        <v>0</v>
      </c>
      <c r="BK32" s="176">
        <f t="shared" si="20"/>
        <v>0</v>
      </c>
      <c r="BL32" s="176">
        <f t="shared" si="20"/>
        <v>0</v>
      </c>
      <c r="BM32" s="176">
        <f t="shared" si="20"/>
        <v>0</v>
      </c>
      <c r="BN32" s="176">
        <f t="shared" si="20"/>
        <v>0</v>
      </c>
      <c r="BO32" s="176">
        <f t="shared" si="20"/>
        <v>0</v>
      </c>
      <c r="BP32" s="176">
        <f t="shared" ref="BP32:EA32" si="21">SUM(BP29:BP31)</f>
        <v>0</v>
      </c>
      <c r="BQ32" s="176">
        <f t="shared" si="21"/>
        <v>0</v>
      </c>
      <c r="BR32" s="176">
        <f t="shared" si="21"/>
        <v>0</v>
      </c>
      <c r="BS32" s="176">
        <f t="shared" si="21"/>
        <v>0</v>
      </c>
      <c r="BT32" s="176">
        <f t="shared" si="21"/>
        <v>0</v>
      </c>
      <c r="BU32" s="176">
        <f t="shared" si="21"/>
        <v>0</v>
      </c>
      <c r="BV32" s="176">
        <f t="shared" si="21"/>
        <v>0</v>
      </c>
      <c r="BW32" s="176">
        <f t="shared" si="21"/>
        <v>0</v>
      </c>
      <c r="BX32" s="176">
        <f t="shared" si="21"/>
        <v>0</v>
      </c>
      <c r="BY32" s="176">
        <f t="shared" si="21"/>
        <v>0</v>
      </c>
      <c r="BZ32" s="176">
        <f t="shared" si="21"/>
        <v>0</v>
      </c>
      <c r="CA32" s="176">
        <f t="shared" si="21"/>
        <v>0</v>
      </c>
      <c r="CB32" s="176">
        <f t="shared" si="21"/>
        <v>0</v>
      </c>
      <c r="CC32" s="176">
        <f t="shared" si="21"/>
        <v>0</v>
      </c>
      <c r="CD32" s="176">
        <f t="shared" si="21"/>
        <v>0</v>
      </c>
      <c r="CE32" s="176">
        <f t="shared" si="21"/>
        <v>0</v>
      </c>
      <c r="CF32" s="176">
        <f t="shared" si="21"/>
        <v>0</v>
      </c>
      <c r="CG32" s="176">
        <f t="shared" si="21"/>
        <v>0</v>
      </c>
      <c r="CH32" s="176">
        <f t="shared" si="21"/>
        <v>0</v>
      </c>
      <c r="CI32" s="176">
        <f t="shared" si="21"/>
        <v>0</v>
      </c>
      <c r="CJ32" s="176">
        <f t="shared" si="21"/>
        <v>0</v>
      </c>
      <c r="CK32" s="176">
        <f t="shared" si="21"/>
        <v>0</v>
      </c>
      <c r="CL32" s="176">
        <f t="shared" si="21"/>
        <v>0</v>
      </c>
      <c r="CM32" s="176">
        <f t="shared" si="21"/>
        <v>0</v>
      </c>
      <c r="CN32" s="176">
        <f t="shared" si="21"/>
        <v>0</v>
      </c>
      <c r="CO32" s="176">
        <f t="shared" si="21"/>
        <v>0</v>
      </c>
      <c r="CP32" s="176">
        <f t="shared" si="21"/>
        <v>0</v>
      </c>
      <c r="CQ32" s="176">
        <f t="shared" si="21"/>
        <v>0</v>
      </c>
      <c r="CR32" s="176">
        <f t="shared" si="21"/>
        <v>0</v>
      </c>
      <c r="CS32" s="176">
        <f t="shared" si="21"/>
        <v>0</v>
      </c>
      <c r="CT32" s="176">
        <f t="shared" si="21"/>
        <v>0</v>
      </c>
      <c r="CU32" s="176">
        <f t="shared" si="21"/>
        <v>0</v>
      </c>
      <c r="CV32" s="176">
        <f t="shared" si="21"/>
        <v>0</v>
      </c>
      <c r="CW32" s="176">
        <f t="shared" si="21"/>
        <v>0</v>
      </c>
      <c r="CX32" s="176">
        <f t="shared" si="21"/>
        <v>0</v>
      </c>
      <c r="CY32" s="176">
        <f t="shared" si="21"/>
        <v>0</v>
      </c>
      <c r="CZ32" s="176">
        <f t="shared" si="21"/>
        <v>0</v>
      </c>
      <c r="DA32" s="176">
        <f t="shared" si="21"/>
        <v>0</v>
      </c>
      <c r="DB32" s="176">
        <f t="shared" si="21"/>
        <v>0</v>
      </c>
      <c r="DC32" s="176">
        <f t="shared" si="21"/>
        <v>0</v>
      </c>
      <c r="DD32" s="176">
        <f t="shared" si="21"/>
        <v>0</v>
      </c>
      <c r="DE32" s="176">
        <f t="shared" si="21"/>
        <v>0</v>
      </c>
      <c r="DF32" s="176">
        <f t="shared" si="21"/>
        <v>0</v>
      </c>
      <c r="DG32" s="176">
        <f t="shared" si="21"/>
        <v>0</v>
      </c>
      <c r="DH32" s="176">
        <f t="shared" si="21"/>
        <v>0</v>
      </c>
      <c r="DI32" s="176">
        <f t="shared" si="21"/>
        <v>0</v>
      </c>
      <c r="DJ32" s="176">
        <f t="shared" si="21"/>
        <v>0</v>
      </c>
      <c r="DK32" s="176">
        <f t="shared" si="21"/>
        <v>0</v>
      </c>
      <c r="DL32" s="176">
        <f t="shared" si="21"/>
        <v>0</v>
      </c>
      <c r="DM32" s="176">
        <f t="shared" si="21"/>
        <v>0</v>
      </c>
      <c r="DN32" s="176">
        <f t="shared" si="21"/>
        <v>0</v>
      </c>
      <c r="DO32" s="176">
        <f t="shared" si="21"/>
        <v>0</v>
      </c>
      <c r="DP32" s="176">
        <f t="shared" si="21"/>
        <v>0</v>
      </c>
      <c r="DQ32" s="176">
        <f t="shared" si="21"/>
        <v>0</v>
      </c>
      <c r="DR32" s="176">
        <f t="shared" si="21"/>
        <v>0</v>
      </c>
      <c r="DS32" s="176">
        <f t="shared" si="21"/>
        <v>0</v>
      </c>
      <c r="DT32" s="176">
        <f t="shared" si="21"/>
        <v>0</v>
      </c>
      <c r="DU32" s="176">
        <f t="shared" si="21"/>
        <v>0</v>
      </c>
      <c r="DV32" s="176">
        <f t="shared" si="21"/>
        <v>0</v>
      </c>
      <c r="DW32" s="176">
        <f t="shared" si="21"/>
        <v>0</v>
      </c>
      <c r="DX32" s="176">
        <f t="shared" si="21"/>
        <v>0</v>
      </c>
      <c r="DY32" s="176">
        <f t="shared" si="21"/>
        <v>0</v>
      </c>
      <c r="DZ32" s="176">
        <f t="shared" si="21"/>
        <v>0</v>
      </c>
      <c r="EA32" s="176">
        <f t="shared" si="21"/>
        <v>0</v>
      </c>
      <c r="EB32" s="176">
        <f t="shared" ref="EB32:FR32" si="22">SUM(EB29:EB31)</f>
        <v>0</v>
      </c>
      <c r="EC32" s="176">
        <f t="shared" si="22"/>
        <v>0</v>
      </c>
      <c r="ED32" s="176">
        <f t="shared" si="22"/>
        <v>0</v>
      </c>
      <c r="EE32" s="176">
        <f t="shared" si="22"/>
        <v>0</v>
      </c>
      <c r="EF32" s="176">
        <f t="shared" si="22"/>
        <v>0</v>
      </c>
      <c r="EG32" s="176">
        <f t="shared" si="22"/>
        <v>0</v>
      </c>
      <c r="EH32" s="176">
        <f t="shared" si="22"/>
        <v>0</v>
      </c>
      <c r="EI32" s="176">
        <f t="shared" si="22"/>
        <v>0</v>
      </c>
      <c r="EJ32" s="176">
        <f t="shared" si="22"/>
        <v>0</v>
      </c>
      <c r="EK32" s="176">
        <f t="shared" si="22"/>
        <v>0</v>
      </c>
      <c r="EL32" s="176">
        <f t="shared" si="22"/>
        <v>0</v>
      </c>
      <c r="EM32" s="176">
        <f t="shared" si="22"/>
        <v>0</v>
      </c>
      <c r="EN32" s="176">
        <f t="shared" si="22"/>
        <v>0</v>
      </c>
      <c r="EO32" s="176">
        <f t="shared" si="22"/>
        <v>0</v>
      </c>
      <c r="EP32" s="176">
        <f t="shared" si="22"/>
        <v>0</v>
      </c>
      <c r="EQ32" s="176">
        <f t="shared" si="22"/>
        <v>0</v>
      </c>
      <c r="ER32" s="176">
        <f t="shared" si="22"/>
        <v>0</v>
      </c>
      <c r="ES32" s="176">
        <f t="shared" si="22"/>
        <v>0</v>
      </c>
      <c r="ET32" s="176">
        <f t="shared" si="22"/>
        <v>0</v>
      </c>
      <c r="EU32" s="176">
        <f t="shared" si="22"/>
        <v>0</v>
      </c>
      <c r="EV32" s="176">
        <f t="shared" si="22"/>
        <v>0</v>
      </c>
      <c r="EW32" s="176">
        <f t="shared" si="22"/>
        <v>0</v>
      </c>
      <c r="EX32" s="176">
        <f t="shared" si="22"/>
        <v>0</v>
      </c>
      <c r="EY32" s="176">
        <f t="shared" si="22"/>
        <v>0</v>
      </c>
      <c r="EZ32" s="176">
        <f t="shared" si="22"/>
        <v>0</v>
      </c>
      <c r="FA32" s="176">
        <f t="shared" si="22"/>
        <v>0</v>
      </c>
      <c r="FB32" s="176">
        <f t="shared" si="22"/>
        <v>0</v>
      </c>
      <c r="FC32" s="176">
        <f t="shared" si="22"/>
        <v>0</v>
      </c>
      <c r="FD32" s="176">
        <f t="shared" si="22"/>
        <v>0</v>
      </c>
      <c r="FE32" s="176">
        <f t="shared" si="22"/>
        <v>0</v>
      </c>
      <c r="FF32" s="176">
        <f t="shared" si="22"/>
        <v>0</v>
      </c>
      <c r="FG32" s="176">
        <f t="shared" si="22"/>
        <v>0</v>
      </c>
      <c r="FH32" s="176">
        <f t="shared" si="22"/>
        <v>0</v>
      </c>
      <c r="FI32" s="176">
        <f t="shared" si="22"/>
        <v>0</v>
      </c>
      <c r="FJ32" s="176">
        <f t="shared" si="22"/>
        <v>0</v>
      </c>
      <c r="FK32" s="176">
        <f t="shared" si="22"/>
        <v>0</v>
      </c>
      <c r="FL32" s="176">
        <f t="shared" si="22"/>
        <v>0</v>
      </c>
      <c r="FM32" s="176">
        <f t="shared" si="22"/>
        <v>0</v>
      </c>
      <c r="FN32" s="176">
        <f t="shared" si="22"/>
        <v>0</v>
      </c>
      <c r="FO32" s="176">
        <f t="shared" si="22"/>
        <v>0</v>
      </c>
      <c r="FP32" s="176">
        <f t="shared" si="22"/>
        <v>0</v>
      </c>
      <c r="FQ32" s="176">
        <f t="shared" si="22"/>
        <v>0</v>
      </c>
      <c r="FR32" s="176">
        <f t="shared" si="22"/>
        <v>0</v>
      </c>
    </row>
    <row r="33" spans="1:174" ht="15" customHeight="1" thickBot="1" x14ac:dyDescent="0.35">
      <c r="A33" s="170"/>
      <c r="B33" s="171" t="s">
        <v>33</v>
      </c>
      <c r="C33" s="177">
        <f>C32/3</f>
        <v>7</v>
      </c>
      <c r="D33" s="177">
        <f t="shared" ref="D33:BO33" si="23">D32/3</f>
        <v>0</v>
      </c>
      <c r="E33" s="177">
        <f t="shared" si="23"/>
        <v>0</v>
      </c>
      <c r="F33" s="177">
        <f t="shared" si="23"/>
        <v>0</v>
      </c>
      <c r="G33" s="177">
        <f t="shared" si="23"/>
        <v>0</v>
      </c>
      <c r="H33" s="177">
        <f t="shared" si="23"/>
        <v>0</v>
      </c>
      <c r="I33" s="177">
        <f t="shared" si="23"/>
        <v>0</v>
      </c>
      <c r="J33" s="177">
        <f t="shared" si="23"/>
        <v>0</v>
      </c>
      <c r="K33" s="177">
        <f t="shared" si="23"/>
        <v>0</v>
      </c>
      <c r="L33" s="177">
        <f t="shared" si="23"/>
        <v>0</v>
      </c>
      <c r="M33" s="177">
        <f t="shared" si="23"/>
        <v>0</v>
      </c>
      <c r="N33" s="177">
        <f t="shared" si="23"/>
        <v>0</v>
      </c>
      <c r="O33" s="177">
        <f t="shared" si="23"/>
        <v>0</v>
      </c>
      <c r="P33" s="177">
        <f t="shared" si="23"/>
        <v>0</v>
      </c>
      <c r="Q33" s="177">
        <f t="shared" si="23"/>
        <v>0</v>
      </c>
      <c r="R33" s="177">
        <f t="shared" si="23"/>
        <v>0</v>
      </c>
      <c r="S33" s="177">
        <f t="shared" si="23"/>
        <v>0</v>
      </c>
      <c r="T33" s="177">
        <f t="shared" si="23"/>
        <v>0</v>
      </c>
      <c r="U33" s="177">
        <f t="shared" si="23"/>
        <v>0</v>
      </c>
      <c r="V33" s="177">
        <f t="shared" si="23"/>
        <v>0</v>
      </c>
      <c r="W33" s="177">
        <f t="shared" si="23"/>
        <v>0</v>
      </c>
      <c r="X33" s="177">
        <f t="shared" si="23"/>
        <v>0</v>
      </c>
      <c r="Y33" s="177">
        <f t="shared" si="23"/>
        <v>0</v>
      </c>
      <c r="Z33" s="177">
        <f t="shared" si="23"/>
        <v>0</v>
      </c>
      <c r="AA33" s="177">
        <f t="shared" si="23"/>
        <v>0</v>
      </c>
      <c r="AB33" s="177">
        <f t="shared" si="23"/>
        <v>0</v>
      </c>
      <c r="AC33" s="177">
        <f t="shared" si="23"/>
        <v>0</v>
      </c>
      <c r="AD33" s="177">
        <f t="shared" si="23"/>
        <v>0</v>
      </c>
      <c r="AE33" s="177">
        <f t="shared" si="23"/>
        <v>0</v>
      </c>
      <c r="AF33" s="177">
        <f t="shared" si="23"/>
        <v>0</v>
      </c>
      <c r="AG33" s="177">
        <f t="shared" si="23"/>
        <v>0</v>
      </c>
      <c r="AH33" s="177">
        <f t="shared" si="23"/>
        <v>0</v>
      </c>
      <c r="AI33" s="177">
        <f t="shared" si="23"/>
        <v>0</v>
      </c>
      <c r="AJ33" s="177">
        <f t="shared" si="23"/>
        <v>0</v>
      </c>
      <c r="AK33" s="177">
        <f t="shared" si="23"/>
        <v>0</v>
      </c>
      <c r="AL33" s="177">
        <f t="shared" si="23"/>
        <v>0</v>
      </c>
      <c r="AM33" s="177">
        <f t="shared" si="23"/>
        <v>0</v>
      </c>
      <c r="AN33" s="177">
        <f t="shared" si="23"/>
        <v>0</v>
      </c>
      <c r="AO33" s="177">
        <f t="shared" si="23"/>
        <v>0</v>
      </c>
      <c r="AP33" s="177">
        <f t="shared" si="23"/>
        <v>0</v>
      </c>
      <c r="AQ33" s="177">
        <f t="shared" si="23"/>
        <v>0</v>
      </c>
      <c r="AR33" s="177">
        <f t="shared" si="23"/>
        <v>0</v>
      </c>
      <c r="AS33" s="177">
        <f t="shared" si="23"/>
        <v>0</v>
      </c>
      <c r="AT33" s="177">
        <f t="shared" si="23"/>
        <v>0</v>
      </c>
      <c r="AU33" s="177">
        <f t="shared" si="23"/>
        <v>0</v>
      </c>
      <c r="AV33" s="177">
        <f t="shared" si="23"/>
        <v>0</v>
      </c>
      <c r="AW33" s="177">
        <f t="shared" si="23"/>
        <v>0</v>
      </c>
      <c r="AX33" s="177">
        <f t="shared" si="23"/>
        <v>0</v>
      </c>
      <c r="AY33" s="177">
        <f t="shared" si="23"/>
        <v>0</v>
      </c>
      <c r="AZ33" s="177">
        <f t="shared" si="23"/>
        <v>0</v>
      </c>
      <c r="BA33" s="177">
        <f t="shared" si="23"/>
        <v>0</v>
      </c>
      <c r="BB33" s="177">
        <f t="shared" si="23"/>
        <v>0</v>
      </c>
      <c r="BC33" s="177">
        <f t="shared" si="23"/>
        <v>0</v>
      </c>
      <c r="BD33" s="177">
        <f t="shared" si="23"/>
        <v>0</v>
      </c>
      <c r="BE33" s="177">
        <f t="shared" si="23"/>
        <v>0</v>
      </c>
      <c r="BF33" s="177">
        <f t="shared" si="23"/>
        <v>0</v>
      </c>
      <c r="BG33" s="177">
        <f t="shared" si="23"/>
        <v>0</v>
      </c>
      <c r="BH33" s="177">
        <f t="shared" si="23"/>
        <v>0</v>
      </c>
      <c r="BI33" s="177">
        <f t="shared" si="23"/>
        <v>0</v>
      </c>
      <c r="BJ33" s="177">
        <f t="shared" si="23"/>
        <v>0</v>
      </c>
      <c r="BK33" s="177">
        <f t="shared" si="23"/>
        <v>0</v>
      </c>
      <c r="BL33" s="177">
        <f t="shared" si="23"/>
        <v>0</v>
      </c>
      <c r="BM33" s="177">
        <f t="shared" si="23"/>
        <v>0</v>
      </c>
      <c r="BN33" s="177">
        <f t="shared" si="23"/>
        <v>0</v>
      </c>
      <c r="BO33" s="177">
        <f t="shared" si="23"/>
        <v>0</v>
      </c>
      <c r="BP33" s="177">
        <f t="shared" ref="BP33:EA33" si="24">BP32/3</f>
        <v>0</v>
      </c>
      <c r="BQ33" s="177">
        <f t="shared" si="24"/>
        <v>0</v>
      </c>
      <c r="BR33" s="177">
        <f t="shared" si="24"/>
        <v>0</v>
      </c>
      <c r="BS33" s="177">
        <f t="shared" si="24"/>
        <v>0</v>
      </c>
      <c r="BT33" s="177">
        <f t="shared" si="24"/>
        <v>0</v>
      </c>
      <c r="BU33" s="177">
        <f t="shared" si="24"/>
        <v>0</v>
      </c>
      <c r="BV33" s="177">
        <f t="shared" si="24"/>
        <v>0</v>
      </c>
      <c r="BW33" s="177">
        <f t="shared" si="24"/>
        <v>0</v>
      </c>
      <c r="BX33" s="177">
        <f t="shared" si="24"/>
        <v>0</v>
      </c>
      <c r="BY33" s="177">
        <f t="shared" si="24"/>
        <v>0</v>
      </c>
      <c r="BZ33" s="177">
        <f t="shared" si="24"/>
        <v>0</v>
      </c>
      <c r="CA33" s="177">
        <f t="shared" si="24"/>
        <v>0</v>
      </c>
      <c r="CB33" s="177">
        <f t="shared" si="24"/>
        <v>0</v>
      </c>
      <c r="CC33" s="177">
        <f t="shared" si="24"/>
        <v>0</v>
      </c>
      <c r="CD33" s="177">
        <f t="shared" si="24"/>
        <v>0</v>
      </c>
      <c r="CE33" s="177">
        <f t="shared" si="24"/>
        <v>0</v>
      </c>
      <c r="CF33" s="177">
        <f t="shared" si="24"/>
        <v>0</v>
      </c>
      <c r="CG33" s="177">
        <f t="shared" si="24"/>
        <v>0</v>
      </c>
      <c r="CH33" s="177">
        <f t="shared" si="24"/>
        <v>0</v>
      </c>
      <c r="CI33" s="177">
        <f t="shared" si="24"/>
        <v>0</v>
      </c>
      <c r="CJ33" s="177">
        <f t="shared" si="24"/>
        <v>0</v>
      </c>
      <c r="CK33" s="177">
        <f t="shared" si="24"/>
        <v>0</v>
      </c>
      <c r="CL33" s="177">
        <f t="shared" si="24"/>
        <v>0</v>
      </c>
      <c r="CM33" s="177">
        <f t="shared" si="24"/>
        <v>0</v>
      </c>
      <c r="CN33" s="177">
        <f t="shared" si="24"/>
        <v>0</v>
      </c>
      <c r="CO33" s="177">
        <f t="shared" si="24"/>
        <v>0</v>
      </c>
      <c r="CP33" s="177">
        <f t="shared" si="24"/>
        <v>0</v>
      </c>
      <c r="CQ33" s="177">
        <f t="shared" si="24"/>
        <v>0</v>
      </c>
      <c r="CR33" s="177">
        <f t="shared" si="24"/>
        <v>0</v>
      </c>
      <c r="CS33" s="177">
        <f t="shared" si="24"/>
        <v>0</v>
      </c>
      <c r="CT33" s="177">
        <f t="shared" si="24"/>
        <v>0</v>
      </c>
      <c r="CU33" s="177">
        <f t="shared" si="24"/>
        <v>0</v>
      </c>
      <c r="CV33" s="177">
        <f t="shared" si="24"/>
        <v>0</v>
      </c>
      <c r="CW33" s="177">
        <f t="shared" si="24"/>
        <v>0</v>
      </c>
      <c r="CX33" s="177">
        <f t="shared" si="24"/>
        <v>0</v>
      </c>
      <c r="CY33" s="177">
        <f t="shared" si="24"/>
        <v>0</v>
      </c>
      <c r="CZ33" s="177">
        <f t="shared" si="24"/>
        <v>0</v>
      </c>
      <c r="DA33" s="177">
        <f t="shared" si="24"/>
        <v>0</v>
      </c>
      <c r="DB33" s="177">
        <f t="shared" si="24"/>
        <v>0</v>
      </c>
      <c r="DC33" s="177">
        <f t="shared" si="24"/>
        <v>0</v>
      </c>
      <c r="DD33" s="177">
        <f t="shared" si="24"/>
        <v>0</v>
      </c>
      <c r="DE33" s="177">
        <f t="shared" si="24"/>
        <v>0</v>
      </c>
      <c r="DF33" s="177">
        <f t="shared" si="24"/>
        <v>0</v>
      </c>
      <c r="DG33" s="177">
        <f t="shared" si="24"/>
        <v>0</v>
      </c>
      <c r="DH33" s="177">
        <f t="shared" si="24"/>
        <v>0</v>
      </c>
      <c r="DI33" s="177">
        <f t="shared" si="24"/>
        <v>0</v>
      </c>
      <c r="DJ33" s="177">
        <f t="shared" si="24"/>
        <v>0</v>
      </c>
      <c r="DK33" s="177">
        <f t="shared" si="24"/>
        <v>0</v>
      </c>
      <c r="DL33" s="177">
        <f t="shared" si="24"/>
        <v>0</v>
      </c>
      <c r="DM33" s="177">
        <f t="shared" si="24"/>
        <v>0</v>
      </c>
      <c r="DN33" s="177">
        <f t="shared" si="24"/>
        <v>0</v>
      </c>
      <c r="DO33" s="177">
        <f t="shared" si="24"/>
        <v>0</v>
      </c>
      <c r="DP33" s="177">
        <f t="shared" si="24"/>
        <v>0</v>
      </c>
      <c r="DQ33" s="177">
        <f t="shared" si="24"/>
        <v>0</v>
      </c>
      <c r="DR33" s="177">
        <f t="shared" si="24"/>
        <v>0</v>
      </c>
      <c r="DS33" s="177">
        <f t="shared" si="24"/>
        <v>0</v>
      </c>
      <c r="DT33" s="177">
        <f t="shared" si="24"/>
        <v>0</v>
      </c>
      <c r="DU33" s="177">
        <f t="shared" si="24"/>
        <v>0</v>
      </c>
      <c r="DV33" s="177">
        <f t="shared" si="24"/>
        <v>0</v>
      </c>
      <c r="DW33" s="177">
        <f t="shared" si="24"/>
        <v>0</v>
      </c>
      <c r="DX33" s="177">
        <f t="shared" si="24"/>
        <v>0</v>
      </c>
      <c r="DY33" s="177">
        <f t="shared" si="24"/>
        <v>0</v>
      </c>
      <c r="DZ33" s="177">
        <f t="shared" si="24"/>
        <v>0</v>
      </c>
      <c r="EA33" s="177">
        <f t="shared" si="24"/>
        <v>0</v>
      </c>
      <c r="EB33" s="177">
        <f t="shared" ref="EB33:FR33" si="25">EB32/3</f>
        <v>0</v>
      </c>
      <c r="EC33" s="177">
        <f t="shared" si="25"/>
        <v>0</v>
      </c>
      <c r="ED33" s="177">
        <f t="shared" si="25"/>
        <v>0</v>
      </c>
      <c r="EE33" s="177">
        <f t="shared" si="25"/>
        <v>0</v>
      </c>
      <c r="EF33" s="177">
        <f t="shared" si="25"/>
        <v>0</v>
      </c>
      <c r="EG33" s="177">
        <f t="shared" si="25"/>
        <v>0</v>
      </c>
      <c r="EH33" s="177">
        <f t="shared" si="25"/>
        <v>0</v>
      </c>
      <c r="EI33" s="177">
        <f t="shared" si="25"/>
        <v>0</v>
      </c>
      <c r="EJ33" s="177">
        <f t="shared" si="25"/>
        <v>0</v>
      </c>
      <c r="EK33" s="177">
        <f t="shared" si="25"/>
        <v>0</v>
      </c>
      <c r="EL33" s="177">
        <f t="shared" si="25"/>
        <v>0</v>
      </c>
      <c r="EM33" s="177">
        <f t="shared" si="25"/>
        <v>0</v>
      </c>
      <c r="EN33" s="177">
        <f t="shared" si="25"/>
        <v>0</v>
      </c>
      <c r="EO33" s="177">
        <f t="shared" si="25"/>
        <v>0</v>
      </c>
      <c r="EP33" s="177">
        <f t="shared" si="25"/>
        <v>0</v>
      </c>
      <c r="EQ33" s="177">
        <f t="shared" si="25"/>
        <v>0</v>
      </c>
      <c r="ER33" s="177">
        <f t="shared" si="25"/>
        <v>0</v>
      </c>
      <c r="ES33" s="177">
        <f t="shared" si="25"/>
        <v>0</v>
      </c>
      <c r="ET33" s="177">
        <f t="shared" si="25"/>
        <v>0</v>
      </c>
      <c r="EU33" s="177">
        <f t="shared" si="25"/>
        <v>0</v>
      </c>
      <c r="EV33" s="177">
        <f t="shared" si="25"/>
        <v>0</v>
      </c>
      <c r="EW33" s="177">
        <f t="shared" si="25"/>
        <v>0</v>
      </c>
      <c r="EX33" s="177">
        <f t="shared" si="25"/>
        <v>0</v>
      </c>
      <c r="EY33" s="177">
        <f t="shared" si="25"/>
        <v>0</v>
      </c>
      <c r="EZ33" s="177">
        <f t="shared" si="25"/>
        <v>0</v>
      </c>
      <c r="FA33" s="177">
        <f t="shared" si="25"/>
        <v>0</v>
      </c>
      <c r="FB33" s="177">
        <f t="shared" si="25"/>
        <v>0</v>
      </c>
      <c r="FC33" s="177">
        <f t="shared" si="25"/>
        <v>0</v>
      </c>
      <c r="FD33" s="177">
        <f t="shared" si="25"/>
        <v>0</v>
      </c>
      <c r="FE33" s="177">
        <f t="shared" si="25"/>
        <v>0</v>
      </c>
      <c r="FF33" s="177">
        <f t="shared" si="25"/>
        <v>0</v>
      </c>
      <c r="FG33" s="177">
        <f t="shared" si="25"/>
        <v>0</v>
      </c>
      <c r="FH33" s="177">
        <f t="shared" si="25"/>
        <v>0</v>
      </c>
      <c r="FI33" s="177">
        <f t="shared" si="25"/>
        <v>0</v>
      </c>
      <c r="FJ33" s="177">
        <f t="shared" si="25"/>
        <v>0</v>
      </c>
      <c r="FK33" s="177">
        <f t="shared" si="25"/>
        <v>0</v>
      </c>
      <c r="FL33" s="177">
        <f t="shared" si="25"/>
        <v>0</v>
      </c>
      <c r="FM33" s="177">
        <f t="shared" si="25"/>
        <v>0</v>
      </c>
      <c r="FN33" s="177">
        <f t="shared" si="25"/>
        <v>0</v>
      </c>
      <c r="FO33" s="177">
        <f t="shared" si="25"/>
        <v>0</v>
      </c>
      <c r="FP33" s="177">
        <f t="shared" si="25"/>
        <v>0</v>
      </c>
      <c r="FQ33" s="177">
        <f t="shared" si="25"/>
        <v>0</v>
      </c>
      <c r="FR33" s="177">
        <f t="shared" si="25"/>
        <v>0</v>
      </c>
    </row>
    <row r="34" spans="1:174" ht="15" customHeight="1" x14ac:dyDescent="0.3">
      <c r="A34" s="126"/>
      <c r="B34" s="172"/>
      <c r="C34" s="173"/>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c r="AS34" s="173"/>
      <c r="AT34" s="173"/>
      <c r="AU34" s="173"/>
      <c r="AV34" s="173"/>
      <c r="AW34" s="173"/>
      <c r="AX34" s="173"/>
      <c r="AY34" s="173"/>
      <c r="AZ34" s="173"/>
      <c r="BA34" s="173"/>
      <c r="BB34" s="173"/>
      <c r="BC34" s="173"/>
      <c r="BD34" s="173"/>
      <c r="BE34" s="173"/>
      <c r="BF34" s="173"/>
      <c r="BG34" s="173"/>
      <c r="BH34" s="173"/>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173"/>
      <c r="CF34" s="173"/>
      <c r="CG34" s="173"/>
      <c r="CH34" s="173"/>
      <c r="CI34" s="173"/>
      <c r="CJ34" s="173"/>
      <c r="CK34" s="173"/>
      <c r="CL34" s="173"/>
      <c r="CM34" s="173"/>
      <c r="CN34" s="173"/>
      <c r="CO34" s="173"/>
      <c r="CP34" s="173"/>
      <c r="CQ34" s="173"/>
      <c r="CR34" s="173"/>
      <c r="CS34" s="173"/>
      <c r="CT34" s="173"/>
      <c r="CU34" s="173"/>
      <c r="CV34" s="173"/>
      <c r="CW34" s="173"/>
      <c r="CX34" s="173"/>
      <c r="CY34" s="173"/>
      <c r="CZ34" s="173"/>
      <c r="DA34" s="173"/>
      <c r="DB34" s="173"/>
      <c r="DC34" s="173"/>
      <c r="DD34" s="173"/>
      <c r="DE34" s="173"/>
      <c r="DF34" s="173"/>
      <c r="DG34" s="173"/>
      <c r="DH34" s="173"/>
      <c r="DI34" s="173"/>
      <c r="DJ34" s="173"/>
      <c r="DK34" s="173"/>
      <c r="DL34" s="173"/>
      <c r="DM34" s="173"/>
      <c r="DN34" s="173"/>
      <c r="DO34" s="173"/>
      <c r="DP34" s="173"/>
      <c r="DQ34" s="173"/>
      <c r="DR34" s="173"/>
      <c r="DS34" s="173"/>
      <c r="DT34" s="173"/>
      <c r="DU34" s="173"/>
      <c r="DV34" s="173"/>
      <c r="DW34" s="173"/>
      <c r="DX34" s="173"/>
      <c r="DY34" s="173"/>
      <c r="DZ34" s="173"/>
      <c r="EA34" s="173"/>
      <c r="EB34" s="173"/>
      <c r="EC34" s="173"/>
      <c r="ED34" s="173"/>
      <c r="EE34" s="173"/>
      <c r="EF34" s="173"/>
      <c r="EG34" s="173"/>
      <c r="EH34" s="173"/>
      <c r="EI34" s="173"/>
      <c r="EJ34" s="173"/>
      <c r="EK34" s="173"/>
      <c r="EL34" s="173"/>
      <c r="EM34" s="173"/>
      <c r="EN34" s="173"/>
      <c r="EO34" s="173"/>
      <c r="EP34" s="173"/>
      <c r="EQ34" s="173"/>
      <c r="ER34" s="173"/>
      <c r="ES34" s="173"/>
      <c r="ET34" s="173"/>
      <c r="EU34" s="173"/>
      <c r="EV34" s="173"/>
      <c r="EW34" s="173"/>
      <c r="EX34" s="173"/>
      <c r="EY34" s="173"/>
      <c r="EZ34" s="173"/>
      <c r="FA34" s="173"/>
      <c r="FB34" s="173"/>
      <c r="FC34" s="173"/>
      <c r="FD34" s="173"/>
      <c r="FE34" s="173"/>
      <c r="FF34" s="173"/>
      <c r="FG34" s="173"/>
      <c r="FH34" s="173"/>
      <c r="FI34" s="173"/>
      <c r="FJ34" s="173"/>
      <c r="FK34" s="173"/>
      <c r="FL34" s="173"/>
      <c r="FM34" s="173"/>
      <c r="FN34" s="173"/>
      <c r="FO34" s="173"/>
      <c r="FP34" s="173"/>
      <c r="FQ34" s="173"/>
      <c r="FR34" s="173"/>
    </row>
    <row r="35" spans="1:174" ht="14.4" thickBot="1" x14ac:dyDescent="0.35">
      <c r="A35" s="123">
        <v>1.3</v>
      </c>
      <c r="B35" s="124" t="s">
        <v>11</v>
      </c>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7"/>
      <c r="AB35" s="127"/>
      <c r="AC35" s="127"/>
      <c r="AD35" s="127"/>
      <c r="AE35" s="127"/>
      <c r="AF35" s="127"/>
      <c r="AG35" s="127"/>
      <c r="AH35" s="127"/>
      <c r="AI35" s="127"/>
      <c r="AJ35" s="127"/>
      <c r="AK35" s="127"/>
      <c r="AL35" s="127"/>
      <c r="AM35" s="127"/>
      <c r="AN35" s="127"/>
      <c r="AO35" s="127"/>
      <c r="AP35" s="127"/>
      <c r="AQ35" s="127"/>
      <c r="AR35" s="127"/>
      <c r="AS35" s="127"/>
      <c r="AT35" s="127"/>
      <c r="AU35" s="127"/>
      <c r="AV35" s="127"/>
      <c r="AW35" s="127"/>
      <c r="AX35" s="127"/>
      <c r="AY35" s="127"/>
      <c r="AZ35" s="127"/>
      <c r="BA35" s="127"/>
      <c r="BB35" s="127"/>
      <c r="BC35" s="127"/>
      <c r="BD35" s="127"/>
      <c r="BE35" s="127"/>
      <c r="BF35" s="127"/>
      <c r="BG35" s="127"/>
      <c r="BH35" s="127"/>
      <c r="BI35" s="127"/>
      <c r="BJ35" s="127"/>
      <c r="BK35" s="127"/>
      <c r="BL35" s="127"/>
      <c r="BM35" s="127"/>
      <c r="BN35" s="127"/>
      <c r="BO35" s="127"/>
      <c r="BP35" s="127"/>
      <c r="BQ35" s="127"/>
      <c r="BR35" s="127"/>
      <c r="BS35" s="127"/>
      <c r="BT35" s="127"/>
      <c r="BU35" s="127"/>
      <c r="BV35" s="127"/>
      <c r="BW35" s="127"/>
      <c r="BX35" s="127"/>
      <c r="BY35" s="127"/>
      <c r="BZ35" s="127"/>
      <c r="CA35" s="127"/>
      <c r="CB35" s="127"/>
      <c r="CC35" s="127"/>
      <c r="CD35" s="127"/>
      <c r="CE35" s="127"/>
      <c r="CF35" s="127"/>
      <c r="CG35" s="127"/>
      <c r="CH35" s="127"/>
      <c r="CI35" s="127"/>
      <c r="CJ35" s="127"/>
      <c r="CK35" s="127"/>
      <c r="CL35" s="127"/>
      <c r="CM35" s="127"/>
      <c r="CN35" s="127"/>
      <c r="CO35" s="127"/>
      <c r="CP35" s="127"/>
      <c r="CQ35" s="127"/>
      <c r="CR35" s="127"/>
      <c r="CS35" s="127"/>
      <c r="CT35" s="127"/>
      <c r="CU35" s="127"/>
      <c r="CV35" s="127"/>
      <c r="CW35" s="127"/>
      <c r="CX35" s="127"/>
      <c r="CY35" s="127"/>
      <c r="CZ35" s="127"/>
      <c r="DA35" s="127"/>
      <c r="DB35" s="127"/>
      <c r="DC35" s="127"/>
      <c r="DD35" s="127"/>
      <c r="DE35" s="127"/>
      <c r="DF35" s="127"/>
      <c r="DG35" s="127"/>
      <c r="DH35" s="127"/>
      <c r="DI35" s="127"/>
      <c r="DJ35" s="127"/>
      <c r="DK35" s="127"/>
      <c r="DL35" s="127"/>
      <c r="DM35" s="127"/>
      <c r="DN35" s="127"/>
      <c r="DO35" s="127"/>
      <c r="DP35" s="127"/>
      <c r="DQ35" s="127"/>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c r="EN35" s="127"/>
      <c r="EO35" s="127"/>
      <c r="EP35" s="127"/>
      <c r="EQ35" s="127"/>
      <c r="ER35" s="127"/>
      <c r="ES35" s="127"/>
      <c r="ET35" s="127"/>
      <c r="EU35" s="127"/>
      <c r="EV35" s="127"/>
      <c r="EW35" s="127"/>
      <c r="EX35" s="127"/>
      <c r="EY35" s="127"/>
      <c r="EZ35" s="127"/>
      <c r="FA35" s="127"/>
      <c r="FB35" s="127"/>
      <c r="FC35" s="127"/>
      <c r="FD35" s="127"/>
      <c r="FE35" s="127"/>
      <c r="FF35" s="127"/>
      <c r="FG35" s="127"/>
      <c r="FH35" s="127"/>
      <c r="FI35" s="127"/>
      <c r="FJ35" s="127"/>
      <c r="FK35" s="127"/>
      <c r="FL35" s="127"/>
      <c r="FM35" s="127"/>
      <c r="FN35" s="127"/>
      <c r="FO35" s="127"/>
      <c r="FP35" s="127"/>
      <c r="FQ35" s="127"/>
      <c r="FR35" s="127"/>
    </row>
    <row r="36" spans="1:174" ht="25.05" customHeight="1" x14ac:dyDescent="0.3">
      <c r="A36" s="164" t="s">
        <v>22</v>
      </c>
      <c r="B36" s="165" t="s">
        <v>37</v>
      </c>
      <c r="C36" s="175">
        <v>8</v>
      </c>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175"/>
      <c r="CF36" s="175"/>
      <c r="CG36" s="175"/>
      <c r="CH36" s="175"/>
      <c r="CI36" s="175"/>
      <c r="CJ36" s="175"/>
      <c r="CK36" s="175"/>
      <c r="CL36" s="175"/>
      <c r="CM36" s="175"/>
      <c r="CN36" s="175"/>
      <c r="CO36" s="175"/>
      <c r="CP36" s="175"/>
      <c r="CQ36" s="175"/>
      <c r="CR36" s="175"/>
      <c r="CS36" s="175"/>
      <c r="CT36" s="175"/>
      <c r="CU36" s="175"/>
      <c r="CV36" s="175"/>
      <c r="CW36" s="175"/>
      <c r="CX36" s="175"/>
      <c r="CY36" s="175"/>
      <c r="CZ36" s="175"/>
      <c r="DA36" s="175"/>
      <c r="DB36" s="175"/>
      <c r="DC36" s="175"/>
      <c r="DD36" s="175"/>
      <c r="DE36" s="175"/>
      <c r="DF36" s="175"/>
      <c r="DG36" s="175"/>
      <c r="DH36" s="175"/>
      <c r="DI36" s="175"/>
      <c r="DJ36" s="175"/>
      <c r="DK36" s="175"/>
      <c r="DL36" s="175"/>
      <c r="DM36" s="175"/>
      <c r="DN36" s="175"/>
      <c r="DO36" s="175"/>
      <c r="DP36" s="175"/>
      <c r="DQ36" s="175"/>
      <c r="DR36" s="175"/>
      <c r="DS36" s="175"/>
      <c r="DT36" s="175"/>
      <c r="DU36" s="175"/>
      <c r="DV36" s="175"/>
      <c r="DW36" s="175"/>
      <c r="DX36" s="175"/>
      <c r="DY36" s="175"/>
      <c r="DZ36" s="175"/>
      <c r="EA36" s="175"/>
      <c r="EB36" s="175"/>
      <c r="EC36" s="175"/>
      <c r="ED36" s="175"/>
      <c r="EE36" s="175"/>
      <c r="EF36" s="175"/>
      <c r="EG36" s="175"/>
      <c r="EH36" s="175"/>
      <c r="EI36" s="175"/>
      <c r="EJ36" s="175"/>
      <c r="EK36" s="175"/>
      <c r="EL36" s="175"/>
      <c r="EM36" s="175"/>
      <c r="EN36" s="175"/>
      <c r="EO36" s="175"/>
      <c r="EP36" s="175"/>
      <c r="EQ36" s="175"/>
      <c r="ER36" s="175"/>
      <c r="ES36" s="175"/>
      <c r="ET36" s="175"/>
      <c r="EU36" s="175"/>
      <c r="EV36" s="175"/>
      <c r="EW36" s="175"/>
      <c r="EX36" s="175"/>
      <c r="EY36" s="175"/>
      <c r="EZ36" s="175"/>
      <c r="FA36" s="175"/>
      <c r="FB36" s="175"/>
      <c r="FC36" s="175"/>
      <c r="FD36" s="175"/>
      <c r="FE36" s="175"/>
      <c r="FF36" s="175"/>
      <c r="FG36" s="175"/>
      <c r="FH36" s="175"/>
      <c r="FI36" s="175"/>
      <c r="FJ36" s="175"/>
      <c r="FK36" s="175"/>
      <c r="FL36" s="175"/>
      <c r="FM36" s="175"/>
      <c r="FN36" s="175"/>
      <c r="FO36" s="175"/>
      <c r="FP36" s="175"/>
      <c r="FQ36" s="175"/>
      <c r="FR36" s="175"/>
    </row>
    <row r="37" spans="1:174" ht="25.05" customHeight="1" x14ac:dyDescent="0.3">
      <c r="A37" s="166" t="s">
        <v>24</v>
      </c>
      <c r="B37" s="167" t="s">
        <v>38</v>
      </c>
      <c r="C37" s="175">
        <v>8</v>
      </c>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175"/>
      <c r="CF37" s="175"/>
      <c r="CG37" s="175"/>
      <c r="CH37" s="175"/>
      <c r="CI37" s="175"/>
      <c r="CJ37" s="175"/>
      <c r="CK37" s="175"/>
      <c r="CL37" s="175"/>
      <c r="CM37" s="175"/>
      <c r="CN37" s="175"/>
      <c r="CO37" s="175"/>
      <c r="CP37" s="175"/>
      <c r="CQ37" s="175"/>
      <c r="CR37" s="175"/>
      <c r="CS37" s="175"/>
      <c r="CT37" s="175"/>
      <c r="CU37" s="175"/>
      <c r="CV37" s="175"/>
      <c r="CW37" s="175"/>
      <c r="CX37" s="175"/>
      <c r="CY37" s="175"/>
      <c r="CZ37" s="175"/>
      <c r="DA37" s="175"/>
      <c r="DB37" s="175"/>
      <c r="DC37" s="175"/>
      <c r="DD37" s="175"/>
      <c r="DE37" s="175"/>
      <c r="DF37" s="175"/>
      <c r="DG37" s="175"/>
      <c r="DH37" s="175"/>
      <c r="DI37" s="175"/>
      <c r="DJ37" s="175"/>
      <c r="DK37" s="175"/>
      <c r="DL37" s="175"/>
      <c r="DM37" s="175"/>
      <c r="DN37" s="175"/>
      <c r="DO37" s="175"/>
      <c r="DP37" s="175"/>
      <c r="DQ37" s="175"/>
      <c r="DR37" s="175"/>
      <c r="DS37" s="175"/>
      <c r="DT37" s="175"/>
      <c r="DU37" s="175"/>
      <c r="DV37" s="175"/>
      <c r="DW37" s="175"/>
      <c r="DX37" s="175"/>
      <c r="DY37" s="175"/>
      <c r="DZ37" s="175"/>
      <c r="EA37" s="175"/>
      <c r="EB37" s="175"/>
      <c r="EC37" s="175"/>
      <c r="ED37" s="175"/>
      <c r="EE37" s="175"/>
      <c r="EF37" s="175"/>
      <c r="EG37" s="175"/>
      <c r="EH37" s="175"/>
      <c r="EI37" s="175"/>
      <c r="EJ37" s="175"/>
      <c r="EK37" s="175"/>
      <c r="EL37" s="175"/>
      <c r="EM37" s="175"/>
      <c r="EN37" s="175"/>
      <c r="EO37" s="175"/>
      <c r="EP37" s="175"/>
      <c r="EQ37" s="175"/>
      <c r="ER37" s="175"/>
      <c r="ES37" s="175"/>
      <c r="ET37" s="175"/>
      <c r="EU37" s="175"/>
      <c r="EV37" s="175"/>
      <c r="EW37" s="175"/>
      <c r="EX37" s="175"/>
      <c r="EY37" s="175"/>
      <c r="EZ37" s="175"/>
      <c r="FA37" s="175"/>
      <c r="FB37" s="175"/>
      <c r="FC37" s="175"/>
      <c r="FD37" s="175"/>
      <c r="FE37" s="175"/>
      <c r="FF37" s="175"/>
      <c r="FG37" s="175"/>
      <c r="FH37" s="175"/>
      <c r="FI37" s="175"/>
      <c r="FJ37" s="175"/>
      <c r="FK37" s="175"/>
      <c r="FL37" s="175"/>
      <c r="FM37" s="175"/>
      <c r="FN37" s="175"/>
      <c r="FO37" s="175"/>
      <c r="FP37" s="175"/>
      <c r="FQ37" s="175"/>
      <c r="FR37" s="175"/>
    </row>
    <row r="38" spans="1:174" ht="25.05" customHeight="1" x14ac:dyDescent="0.3">
      <c r="A38" s="166" t="s">
        <v>26</v>
      </c>
      <c r="B38" s="167" t="s">
        <v>39</v>
      </c>
      <c r="C38" s="175">
        <v>8</v>
      </c>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c r="CH38" s="175"/>
      <c r="CI38" s="175"/>
      <c r="CJ38" s="175"/>
      <c r="CK38" s="175"/>
      <c r="CL38" s="175"/>
      <c r="CM38" s="175"/>
      <c r="CN38" s="175"/>
      <c r="CO38" s="175"/>
      <c r="CP38" s="175"/>
      <c r="CQ38" s="175"/>
      <c r="CR38" s="175"/>
      <c r="CS38" s="175"/>
      <c r="CT38" s="175"/>
      <c r="CU38" s="175"/>
      <c r="CV38" s="175"/>
      <c r="CW38" s="175"/>
      <c r="CX38" s="175"/>
      <c r="CY38" s="175"/>
      <c r="CZ38" s="175"/>
      <c r="DA38" s="175"/>
      <c r="DB38" s="175"/>
      <c r="DC38" s="175"/>
      <c r="DD38" s="175"/>
      <c r="DE38" s="175"/>
      <c r="DF38" s="175"/>
      <c r="DG38" s="175"/>
      <c r="DH38" s="175"/>
      <c r="DI38" s="175"/>
      <c r="DJ38" s="175"/>
      <c r="DK38" s="175"/>
      <c r="DL38" s="175"/>
      <c r="DM38" s="175"/>
      <c r="DN38" s="175"/>
      <c r="DO38" s="175"/>
      <c r="DP38" s="175"/>
      <c r="DQ38" s="175"/>
      <c r="DR38" s="175"/>
      <c r="DS38" s="175"/>
      <c r="DT38" s="175"/>
      <c r="DU38" s="175"/>
      <c r="DV38" s="175"/>
      <c r="DW38" s="175"/>
      <c r="DX38" s="175"/>
      <c r="DY38" s="175"/>
      <c r="DZ38" s="175"/>
      <c r="EA38" s="175"/>
      <c r="EB38" s="175"/>
      <c r="EC38" s="175"/>
      <c r="ED38" s="175"/>
      <c r="EE38" s="175"/>
      <c r="EF38" s="175"/>
      <c r="EG38" s="175"/>
      <c r="EH38" s="175"/>
      <c r="EI38" s="175"/>
      <c r="EJ38" s="175"/>
      <c r="EK38" s="175"/>
      <c r="EL38" s="175"/>
      <c r="EM38" s="175"/>
      <c r="EN38" s="175"/>
      <c r="EO38" s="175"/>
      <c r="EP38" s="175"/>
      <c r="EQ38" s="175"/>
      <c r="ER38" s="175"/>
      <c r="ES38" s="175"/>
      <c r="ET38" s="175"/>
      <c r="EU38" s="175"/>
      <c r="EV38" s="175"/>
      <c r="EW38" s="175"/>
      <c r="EX38" s="175"/>
      <c r="EY38" s="175"/>
      <c r="EZ38" s="175"/>
      <c r="FA38" s="175"/>
      <c r="FB38" s="175"/>
      <c r="FC38" s="175"/>
      <c r="FD38" s="175"/>
      <c r="FE38" s="175"/>
      <c r="FF38" s="175"/>
      <c r="FG38" s="175"/>
      <c r="FH38" s="175"/>
      <c r="FI38" s="175"/>
      <c r="FJ38" s="175"/>
      <c r="FK38" s="175"/>
      <c r="FL38" s="175"/>
      <c r="FM38" s="175"/>
      <c r="FN38" s="175"/>
      <c r="FO38" s="175"/>
      <c r="FP38" s="175"/>
      <c r="FQ38" s="175"/>
      <c r="FR38" s="175"/>
    </row>
    <row r="39" spans="1:174" ht="15" customHeight="1" x14ac:dyDescent="0.3">
      <c r="A39" s="168"/>
      <c r="B39" s="174" t="s">
        <v>32</v>
      </c>
      <c r="C39" s="176">
        <f>SUM(C36:C38)</f>
        <v>24</v>
      </c>
      <c r="D39" s="176">
        <f t="shared" ref="D39:BO39" si="26">SUM(D36:D38)</f>
        <v>0</v>
      </c>
      <c r="E39" s="176">
        <f t="shared" si="26"/>
        <v>0</v>
      </c>
      <c r="F39" s="176">
        <f t="shared" si="26"/>
        <v>0</v>
      </c>
      <c r="G39" s="176">
        <f t="shared" si="26"/>
        <v>0</v>
      </c>
      <c r="H39" s="176">
        <f t="shared" si="26"/>
        <v>0</v>
      </c>
      <c r="I39" s="176">
        <f t="shared" si="26"/>
        <v>0</v>
      </c>
      <c r="J39" s="176">
        <f t="shared" si="26"/>
        <v>0</v>
      </c>
      <c r="K39" s="176">
        <f t="shared" si="26"/>
        <v>0</v>
      </c>
      <c r="L39" s="176">
        <f t="shared" si="26"/>
        <v>0</v>
      </c>
      <c r="M39" s="176">
        <f t="shared" si="26"/>
        <v>0</v>
      </c>
      <c r="N39" s="176">
        <f t="shared" si="26"/>
        <v>0</v>
      </c>
      <c r="O39" s="176">
        <f t="shared" si="26"/>
        <v>0</v>
      </c>
      <c r="P39" s="176">
        <f t="shared" si="26"/>
        <v>0</v>
      </c>
      <c r="Q39" s="176">
        <f t="shared" si="26"/>
        <v>0</v>
      </c>
      <c r="R39" s="176">
        <f t="shared" si="26"/>
        <v>0</v>
      </c>
      <c r="S39" s="176">
        <f t="shared" si="26"/>
        <v>0</v>
      </c>
      <c r="T39" s="176">
        <f t="shared" si="26"/>
        <v>0</v>
      </c>
      <c r="U39" s="176">
        <f t="shared" si="26"/>
        <v>0</v>
      </c>
      <c r="V39" s="176">
        <f t="shared" si="26"/>
        <v>0</v>
      </c>
      <c r="W39" s="176">
        <f t="shared" si="26"/>
        <v>0</v>
      </c>
      <c r="X39" s="176">
        <f t="shared" si="26"/>
        <v>0</v>
      </c>
      <c r="Y39" s="176">
        <f t="shared" si="26"/>
        <v>0</v>
      </c>
      <c r="Z39" s="176">
        <f t="shared" si="26"/>
        <v>0</v>
      </c>
      <c r="AA39" s="176">
        <f t="shared" si="26"/>
        <v>0</v>
      </c>
      <c r="AB39" s="176">
        <f t="shared" si="26"/>
        <v>0</v>
      </c>
      <c r="AC39" s="176">
        <f t="shared" si="26"/>
        <v>0</v>
      </c>
      <c r="AD39" s="176">
        <f t="shared" si="26"/>
        <v>0</v>
      </c>
      <c r="AE39" s="176">
        <f t="shared" si="26"/>
        <v>0</v>
      </c>
      <c r="AF39" s="176">
        <f t="shared" si="26"/>
        <v>0</v>
      </c>
      <c r="AG39" s="176">
        <f t="shared" si="26"/>
        <v>0</v>
      </c>
      <c r="AH39" s="176">
        <f t="shared" si="26"/>
        <v>0</v>
      </c>
      <c r="AI39" s="176">
        <f t="shared" si="26"/>
        <v>0</v>
      </c>
      <c r="AJ39" s="176">
        <f t="shared" si="26"/>
        <v>0</v>
      </c>
      <c r="AK39" s="176">
        <f t="shared" si="26"/>
        <v>0</v>
      </c>
      <c r="AL39" s="176">
        <f t="shared" si="26"/>
        <v>0</v>
      </c>
      <c r="AM39" s="176">
        <f t="shared" si="26"/>
        <v>0</v>
      </c>
      <c r="AN39" s="176">
        <f t="shared" si="26"/>
        <v>0</v>
      </c>
      <c r="AO39" s="176">
        <f t="shared" si="26"/>
        <v>0</v>
      </c>
      <c r="AP39" s="176">
        <f t="shared" si="26"/>
        <v>0</v>
      </c>
      <c r="AQ39" s="176">
        <f t="shared" si="26"/>
        <v>0</v>
      </c>
      <c r="AR39" s="176">
        <f t="shared" si="26"/>
        <v>0</v>
      </c>
      <c r="AS39" s="176">
        <f t="shared" si="26"/>
        <v>0</v>
      </c>
      <c r="AT39" s="176">
        <f t="shared" si="26"/>
        <v>0</v>
      </c>
      <c r="AU39" s="176">
        <f t="shared" si="26"/>
        <v>0</v>
      </c>
      <c r="AV39" s="176">
        <f t="shared" si="26"/>
        <v>0</v>
      </c>
      <c r="AW39" s="176">
        <f t="shared" si="26"/>
        <v>0</v>
      </c>
      <c r="AX39" s="176">
        <f t="shared" si="26"/>
        <v>0</v>
      </c>
      <c r="AY39" s="176">
        <f t="shared" si="26"/>
        <v>0</v>
      </c>
      <c r="AZ39" s="176">
        <f t="shared" si="26"/>
        <v>0</v>
      </c>
      <c r="BA39" s="176">
        <f t="shared" si="26"/>
        <v>0</v>
      </c>
      <c r="BB39" s="176">
        <f t="shared" si="26"/>
        <v>0</v>
      </c>
      <c r="BC39" s="176">
        <f t="shared" si="26"/>
        <v>0</v>
      </c>
      <c r="BD39" s="176">
        <f t="shared" si="26"/>
        <v>0</v>
      </c>
      <c r="BE39" s="176">
        <f t="shared" si="26"/>
        <v>0</v>
      </c>
      <c r="BF39" s="176">
        <f t="shared" si="26"/>
        <v>0</v>
      </c>
      <c r="BG39" s="176">
        <f t="shared" si="26"/>
        <v>0</v>
      </c>
      <c r="BH39" s="176">
        <f t="shared" si="26"/>
        <v>0</v>
      </c>
      <c r="BI39" s="176">
        <f t="shared" si="26"/>
        <v>0</v>
      </c>
      <c r="BJ39" s="176">
        <f t="shared" si="26"/>
        <v>0</v>
      </c>
      <c r="BK39" s="176">
        <f t="shared" si="26"/>
        <v>0</v>
      </c>
      <c r="BL39" s="176">
        <f t="shared" si="26"/>
        <v>0</v>
      </c>
      <c r="BM39" s="176">
        <f t="shared" si="26"/>
        <v>0</v>
      </c>
      <c r="BN39" s="176">
        <f t="shared" si="26"/>
        <v>0</v>
      </c>
      <c r="BO39" s="176">
        <f t="shared" si="26"/>
        <v>0</v>
      </c>
      <c r="BP39" s="176">
        <f t="shared" ref="BP39:EA39" si="27">SUM(BP36:BP38)</f>
        <v>0</v>
      </c>
      <c r="BQ39" s="176">
        <f t="shared" si="27"/>
        <v>0</v>
      </c>
      <c r="BR39" s="176">
        <f t="shared" si="27"/>
        <v>0</v>
      </c>
      <c r="BS39" s="176">
        <f t="shared" si="27"/>
        <v>0</v>
      </c>
      <c r="BT39" s="176">
        <f t="shared" si="27"/>
        <v>0</v>
      </c>
      <c r="BU39" s="176">
        <f t="shared" si="27"/>
        <v>0</v>
      </c>
      <c r="BV39" s="176">
        <f t="shared" si="27"/>
        <v>0</v>
      </c>
      <c r="BW39" s="176">
        <f t="shared" si="27"/>
        <v>0</v>
      </c>
      <c r="BX39" s="176">
        <f t="shared" si="27"/>
        <v>0</v>
      </c>
      <c r="BY39" s="176">
        <f t="shared" si="27"/>
        <v>0</v>
      </c>
      <c r="BZ39" s="176">
        <f t="shared" si="27"/>
        <v>0</v>
      </c>
      <c r="CA39" s="176">
        <f t="shared" si="27"/>
        <v>0</v>
      </c>
      <c r="CB39" s="176">
        <f t="shared" si="27"/>
        <v>0</v>
      </c>
      <c r="CC39" s="176">
        <f t="shared" si="27"/>
        <v>0</v>
      </c>
      <c r="CD39" s="176">
        <f t="shared" si="27"/>
        <v>0</v>
      </c>
      <c r="CE39" s="176">
        <f t="shared" si="27"/>
        <v>0</v>
      </c>
      <c r="CF39" s="176">
        <f t="shared" si="27"/>
        <v>0</v>
      </c>
      <c r="CG39" s="176">
        <f t="shared" si="27"/>
        <v>0</v>
      </c>
      <c r="CH39" s="176">
        <f t="shared" si="27"/>
        <v>0</v>
      </c>
      <c r="CI39" s="176">
        <f t="shared" si="27"/>
        <v>0</v>
      </c>
      <c r="CJ39" s="176">
        <f t="shared" si="27"/>
        <v>0</v>
      </c>
      <c r="CK39" s="176">
        <f t="shared" si="27"/>
        <v>0</v>
      </c>
      <c r="CL39" s="176">
        <f t="shared" si="27"/>
        <v>0</v>
      </c>
      <c r="CM39" s="176">
        <f t="shared" si="27"/>
        <v>0</v>
      </c>
      <c r="CN39" s="176">
        <f t="shared" si="27"/>
        <v>0</v>
      </c>
      <c r="CO39" s="176">
        <f t="shared" si="27"/>
        <v>0</v>
      </c>
      <c r="CP39" s="176">
        <f t="shared" si="27"/>
        <v>0</v>
      </c>
      <c r="CQ39" s="176">
        <f t="shared" si="27"/>
        <v>0</v>
      </c>
      <c r="CR39" s="176">
        <f t="shared" si="27"/>
        <v>0</v>
      </c>
      <c r="CS39" s="176">
        <f t="shared" si="27"/>
        <v>0</v>
      </c>
      <c r="CT39" s="176">
        <f t="shared" si="27"/>
        <v>0</v>
      </c>
      <c r="CU39" s="176">
        <f t="shared" si="27"/>
        <v>0</v>
      </c>
      <c r="CV39" s="176">
        <f t="shared" si="27"/>
        <v>0</v>
      </c>
      <c r="CW39" s="176">
        <f t="shared" si="27"/>
        <v>0</v>
      </c>
      <c r="CX39" s="176">
        <f t="shared" si="27"/>
        <v>0</v>
      </c>
      <c r="CY39" s="176">
        <f t="shared" si="27"/>
        <v>0</v>
      </c>
      <c r="CZ39" s="176">
        <f t="shared" si="27"/>
        <v>0</v>
      </c>
      <c r="DA39" s="176">
        <f t="shared" si="27"/>
        <v>0</v>
      </c>
      <c r="DB39" s="176">
        <f t="shared" si="27"/>
        <v>0</v>
      </c>
      <c r="DC39" s="176">
        <f t="shared" si="27"/>
        <v>0</v>
      </c>
      <c r="DD39" s="176">
        <f t="shared" si="27"/>
        <v>0</v>
      </c>
      <c r="DE39" s="176">
        <f t="shared" si="27"/>
        <v>0</v>
      </c>
      <c r="DF39" s="176">
        <f t="shared" si="27"/>
        <v>0</v>
      </c>
      <c r="DG39" s="176">
        <f t="shared" si="27"/>
        <v>0</v>
      </c>
      <c r="DH39" s="176">
        <f t="shared" si="27"/>
        <v>0</v>
      </c>
      <c r="DI39" s="176">
        <f t="shared" si="27"/>
        <v>0</v>
      </c>
      <c r="DJ39" s="176">
        <f t="shared" si="27"/>
        <v>0</v>
      </c>
      <c r="DK39" s="176">
        <f t="shared" si="27"/>
        <v>0</v>
      </c>
      <c r="DL39" s="176">
        <f t="shared" si="27"/>
        <v>0</v>
      </c>
      <c r="DM39" s="176">
        <f t="shared" si="27"/>
        <v>0</v>
      </c>
      <c r="DN39" s="176">
        <f t="shared" si="27"/>
        <v>0</v>
      </c>
      <c r="DO39" s="176">
        <f t="shared" si="27"/>
        <v>0</v>
      </c>
      <c r="DP39" s="176">
        <f t="shared" si="27"/>
        <v>0</v>
      </c>
      <c r="DQ39" s="176">
        <f t="shared" si="27"/>
        <v>0</v>
      </c>
      <c r="DR39" s="176">
        <f t="shared" si="27"/>
        <v>0</v>
      </c>
      <c r="DS39" s="176">
        <f t="shared" si="27"/>
        <v>0</v>
      </c>
      <c r="DT39" s="176">
        <f t="shared" si="27"/>
        <v>0</v>
      </c>
      <c r="DU39" s="176">
        <f t="shared" si="27"/>
        <v>0</v>
      </c>
      <c r="DV39" s="176">
        <f t="shared" si="27"/>
        <v>0</v>
      </c>
      <c r="DW39" s="176">
        <f t="shared" si="27"/>
        <v>0</v>
      </c>
      <c r="DX39" s="176">
        <f t="shared" si="27"/>
        <v>0</v>
      </c>
      <c r="DY39" s="176">
        <f t="shared" si="27"/>
        <v>0</v>
      </c>
      <c r="DZ39" s="176">
        <f t="shared" si="27"/>
        <v>0</v>
      </c>
      <c r="EA39" s="176">
        <f t="shared" si="27"/>
        <v>0</v>
      </c>
      <c r="EB39" s="176">
        <f t="shared" ref="EB39:FR39" si="28">SUM(EB36:EB38)</f>
        <v>0</v>
      </c>
      <c r="EC39" s="176">
        <f t="shared" si="28"/>
        <v>0</v>
      </c>
      <c r="ED39" s="176">
        <f t="shared" si="28"/>
        <v>0</v>
      </c>
      <c r="EE39" s="176">
        <f t="shared" si="28"/>
        <v>0</v>
      </c>
      <c r="EF39" s="176">
        <f t="shared" si="28"/>
        <v>0</v>
      </c>
      <c r="EG39" s="176">
        <f t="shared" si="28"/>
        <v>0</v>
      </c>
      <c r="EH39" s="176">
        <f t="shared" si="28"/>
        <v>0</v>
      </c>
      <c r="EI39" s="176">
        <f t="shared" si="28"/>
        <v>0</v>
      </c>
      <c r="EJ39" s="176">
        <f t="shared" si="28"/>
        <v>0</v>
      </c>
      <c r="EK39" s="176">
        <f t="shared" si="28"/>
        <v>0</v>
      </c>
      <c r="EL39" s="176">
        <f t="shared" si="28"/>
        <v>0</v>
      </c>
      <c r="EM39" s="176">
        <f t="shared" si="28"/>
        <v>0</v>
      </c>
      <c r="EN39" s="176">
        <f t="shared" si="28"/>
        <v>0</v>
      </c>
      <c r="EO39" s="176">
        <f t="shared" si="28"/>
        <v>0</v>
      </c>
      <c r="EP39" s="176">
        <f t="shared" si="28"/>
        <v>0</v>
      </c>
      <c r="EQ39" s="176">
        <f t="shared" si="28"/>
        <v>0</v>
      </c>
      <c r="ER39" s="176">
        <f t="shared" si="28"/>
        <v>0</v>
      </c>
      <c r="ES39" s="176">
        <f t="shared" si="28"/>
        <v>0</v>
      </c>
      <c r="ET39" s="176">
        <f t="shared" si="28"/>
        <v>0</v>
      </c>
      <c r="EU39" s="176">
        <f t="shared" si="28"/>
        <v>0</v>
      </c>
      <c r="EV39" s="176">
        <f t="shared" si="28"/>
        <v>0</v>
      </c>
      <c r="EW39" s="176">
        <f t="shared" si="28"/>
        <v>0</v>
      </c>
      <c r="EX39" s="176">
        <f t="shared" si="28"/>
        <v>0</v>
      </c>
      <c r="EY39" s="176">
        <f t="shared" si="28"/>
        <v>0</v>
      </c>
      <c r="EZ39" s="176">
        <f t="shared" si="28"/>
        <v>0</v>
      </c>
      <c r="FA39" s="176">
        <f t="shared" si="28"/>
        <v>0</v>
      </c>
      <c r="FB39" s="176">
        <f t="shared" si="28"/>
        <v>0</v>
      </c>
      <c r="FC39" s="176">
        <f t="shared" si="28"/>
        <v>0</v>
      </c>
      <c r="FD39" s="176">
        <f t="shared" si="28"/>
        <v>0</v>
      </c>
      <c r="FE39" s="176">
        <f t="shared" si="28"/>
        <v>0</v>
      </c>
      <c r="FF39" s="176">
        <f t="shared" si="28"/>
        <v>0</v>
      </c>
      <c r="FG39" s="176">
        <f t="shared" si="28"/>
        <v>0</v>
      </c>
      <c r="FH39" s="176">
        <f t="shared" si="28"/>
        <v>0</v>
      </c>
      <c r="FI39" s="176">
        <f t="shared" si="28"/>
        <v>0</v>
      </c>
      <c r="FJ39" s="176">
        <f t="shared" si="28"/>
        <v>0</v>
      </c>
      <c r="FK39" s="176">
        <f t="shared" si="28"/>
        <v>0</v>
      </c>
      <c r="FL39" s="176">
        <f t="shared" si="28"/>
        <v>0</v>
      </c>
      <c r="FM39" s="176">
        <f t="shared" si="28"/>
        <v>0</v>
      </c>
      <c r="FN39" s="176">
        <f t="shared" si="28"/>
        <v>0</v>
      </c>
      <c r="FO39" s="176">
        <f t="shared" si="28"/>
        <v>0</v>
      </c>
      <c r="FP39" s="176">
        <f t="shared" si="28"/>
        <v>0</v>
      </c>
      <c r="FQ39" s="176">
        <f t="shared" si="28"/>
        <v>0</v>
      </c>
      <c r="FR39" s="176">
        <f t="shared" si="28"/>
        <v>0</v>
      </c>
    </row>
    <row r="40" spans="1:174" ht="15" customHeight="1" thickBot="1" x14ac:dyDescent="0.35">
      <c r="A40" s="170"/>
      <c r="B40" s="171" t="s">
        <v>33</v>
      </c>
      <c r="C40" s="177">
        <f>C39/3</f>
        <v>8</v>
      </c>
      <c r="D40" s="177">
        <f t="shared" ref="D40:BO40" si="29">D39/3</f>
        <v>0</v>
      </c>
      <c r="E40" s="177">
        <f t="shared" si="29"/>
        <v>0</v>
      </c>
      <c r="F40" s="177">
        <f t="shared" si="29"/>
        <v>0</v>
      </c>
      <c r="G40" s="177">
        <f t="shared" si="29"/>
        <v>0</v>
      </c>
      <c r="H40" s="177">
        <f t="shared" si="29"/>
        <v>0</v>
      </c>
      <c r="I40" s="177">
        <f t="shared" si="29"/>
        <v>0</v>
      </c>
      <c r="J40" s="177">
        <f t="shared" si="29"/>
        <v>0</v>
      </c>
      <c r="K40" s="177">
        <f t="shared" si="29"/>
        <v>0</v>
      </c>
      <c r="L40" s="177">
        <f t="shared" si="29"/>
        <v>0</v>
      </c>
      <c r="M40" s="177">
        <f t="shared" si="29"/>
        <v>0</v>
      </c>
      <c r="N40" s="177">
        <f t="shared" si="29"/>
        <v>0</v>
      </c>
      <c r="O40" s="177">
        <f t="shared" si="29"/>
        <v>0</v>
      </c>
      <c r="P40" s="177">
        <f t="shared" si="29"/>
        <v>0</v>
      </c>
      <c r="Q40" s="177">
        <f t="shared" si="29"/>
        <v>0</v>
      </c>
      <c r="R40" s="177">
        <f t="shared" si="29"/>
        <v>0</v>
      </c>
      <c r="S40" s="177">
        <f t="shared" si="29"/>
        <v>0</v>
      </c>
      <c r="T40" s="177">
        <f t="shared" si="29"/>
        <v>0</v>
      </c>
      <c r="U40" s="177">
        <f t="shared" si="29"/>
        <v>0</v>
      </c>
      <c r="V40" s="177">
        <f t="shared" si="29"/>
        <v>0</v>
      </c>
      <c r="W40" s="177">
        <f t="shared" si="29"/>
        <v>0</v>
      </c>
      <c r="X40" s="177">
        <f t="shared" si="29"/>
        <v>0</v>
      </c>
      <c r="Y40" s="177">
        <f t="shared" si="29"/>
        <v>0</v>
      </c>
      <c r="Z40" s="177">
        <f t="shared" si="29"/>
        <v>0</v>
      </c>
      <c r="AA40" s="177">
        <f t="shared" si="29"/>
        <v>0</v>
      </c>
      <c r="AB40" s="177">
        <f t="shared" si="29"/>
        <v>0</v>
      </c>
      <c r="AC40" s="177">
        <f t="shared" si="29"/>
        <v>0</v>
      </c>
      <c r="AD40" s="177">
        <f t="shared" si="29"/>
        <v>0</v>
      </c>
      <c r="AE40" s="177">
        <f t="shared" si="29"/>
        <v>0</v>
      </c>
      <c r="AF40" s="177">
        <f t="shared" si="29"/>
        <v>0</v>
      </c>
      <c r="AG40" s="177">
        <f t="shared" si="29"/>
        <v>0</v>
      </c>
      <c r="AH40" s="177">
        <f t="shared" si="29"/>
        <v>0</v>
      </c>
      <c r="AI40" s="177">
        <f t="shared" si="29"/>
        <v>0</v>
      </c>
      <c r="AJ40" s="177">
        <f t="shared" si="29"/>
        <v>0</v>
      </c>
      <c r="AK40" s="177">
        <f t="shared" si="29"/>
        <v>0</v>
      </c>
      <c r="AL40" s="177">
        <f t="shared" si="29"/>
        <v>0</v>
      </c>
      <c r="AM40" s="177">
        <f t="shared" si="29"/>
        <v>0</v>
      </c>
      <c r="AN40" s="177">
        <f t="shared" si="29"/>
        <v>0</v>
      </c>
      <c r="AO40" s="177">
        <f t="shared" si="29"/>
        <v>0</v>
      </c>
      <c r="AP40" s="177">
        <f t="shared" si="29"/>
        <v>0</v>
      </c>
      <c r="AQ40" s="177">
        <f t="shared" si="29"/>
        <v>0</v>
      </c>
      <c r="AR40" s="177">
        <f t="shared" si="29"/>
        <v>0</v>
      </c>
      <c r="AS40" s="177">
        <f t="shared" si="29"/>
        <v>0</v>
      </c>
      <c r="AT40" s="177">
        <f t="shared" si="29"/>
        <v>0</v>
      </c>
      <c r="AU40" s="177">
        <f t="shared" si="29"/>
        <v>0</v>
      </c>
      <c r="AV40" s="177">
        <f t="shared" si="29"/>
        <v>0</v>
      </c>
      <c r="AW40" s="177">
        <f t="shared" si="29"/>
        <v>0</v>
      </c>
      <c r="AX40" s="177">
        <f t="shared" si="29"/>
        <v>0</v>
      </c>
      <c r="AY40" s="177">
        <f t="shared" si="29"/>
        <v>0</v>
      </c>
      <c r="AZ40" s="177">
        <f t="shared" si="29"/>
        <v>0</v>
      </c>
      <c r="BA40" s="177">
        <f t="shared" si="29"/>
        <v>0</v>
      </c>
      <c r="BB40" s="177">
        <f t="shared" si="29"/>
        <v>0</v>
      </c>
      <c r="BC40" s="177">
        <f t="shared" si="29"/>
        <v>0</v>
      </c>
      <c r="BD40" s="177">
        <f t="shared" si="29"/>
        <v>0</v>
      </c>
      <c r="BE40" s="177">
        <f t="shared" si="29"/>
        <v>0</v>
      </c>
      <c r="BF40" s="177">
        <f t="shared" si="29"/>
        <v>0</v>
      </c>
      <c r="BG40" s="177">
        <f t="shared" si="29"/>
        <v>0</v>
      </c>
      <c r="BH40" s="177">
        <f t="shared" si="29"/>
        <v>0</v>
      </c>
      <c r="BI40" s="177">
        <f t="shared" si="29"/>
        <v>0</v>
      </c>
      <c r="BJ40" s="177">
        <f t="shared" si="29"/>
        <v>0</v>
      </c>
      <c r="BK40" s="177">
        <f t="shared" si="29"/>
        <v>0</v>
      </c>
      <c r="BL40" s="177">
        <f t="shared" si="29"/>
        <v>0</v>
      </c>
      <c r="BM40" s="177">
        <f t="shared" si="29"/>
        <v>0</v>
      </c>
      <c r="BN40" s="177">
        <f t="shared" si="29"/>
        <v>0</v>
      </c>
      <c r="BO40" s="177">
        <f t="shared" si="29"/>
        <v>0</v>
      </c>
      <c r="BP40" s="177">
        <f t="shared" ref="BP40:EA40" si="30">BP39/3</f>
        <v>0</v>
      </c>
      <c r="BQ40" s="177">
        <f t="shared" si="30"/>
        <v>0</v>
      </c>
      <c r="BR40" s="177">
        <f t="shared" si="30"/>
        <v>0</v>
      </c>
      <c r="BS40" s="177">
        <f t="shared" si="30"/>
        <v>0</v>
      </c>
      <c r="BT40" s="177">
        <f t="shared" si="30"/>
        <v>0</v>
      </c>
      <c r="BU40" s="177">
        <f t="shared" si="30"/>
        <v>0</v>
      </c>
      <c r="BV40" s="177">
        <f t="shared" si="30"/>
        <v>0</v>
      </c>
      <c r="BW40" s="177">
        <f t="shared" si="30"/>
        <v>0</v>
      </c>
      <c r="BX40" s="177">
        <f t="shared" si="30"/>
        <v>0</v>
      </c>
      <c r="BY40" s="177">
        <f t="shared" si="30"/>
        <v>0</v>
      </c>
      <c r="BZ40" s="177">
        <f t="shared" si="30"/>
        <v>0</v>
      </c>
      <c r="CA40" s="177">
        <f t="shared" si="30"/>
        <v>0</v>
      </c>
      <c r="CB40" s="177">
        <f t="shared" si="30"/>
        <v>0</v>
      </c>
      <c r="CC40" s="177">
        <f t="shared" si="30"/>
        <v>0</v>
      </c>
      <c r="CD40" s="177">
        <f t="shared" si="30"/>
        <v>0</v>
      </c>
      <c r="CE40" s="177">
        <f t="shared" si="30"/>
        <v>0</v>
      </c>
      <c r="CF40" s="177">
        <f t="shared" si="30"/>
        <v>0</v>
      </c>
      <c r="CG40" s="177">
        <f t="shared" si="30"/>
        <v>0</v>
      </c>
      <c r="CH40" s="177">
        <f t="shared" si="30"/>
        <v>0</v>
      </c>
      <c r="CI40" s="177">
        <f t="shared" si="30"/>
        <v>0</v>
      </c>
      <c r="CJ40" s="177">
        <f t="shared" si="30"/>
        <v>0</v>
      </c>
      <c r="CK40" s="177">
        <f t="shared" si="30"/>
        <v>0</v>
      </c>
      <c r="CL40" s="177">
        <f t="shared" si="30"/>
        <v>0</v>
      </c>
      <c r="CM40" s="177">
        <f t="shared" si="30"/>
        <v>0</v>
      </c>
      <c r="CN40" s="177">
        <f t="shared" si="30"/>
        <v>0</v>
      </c>
      <c r="CO40" s="177">
        <f t="shared" si="30"/>
        <v>0</v>
      </c>
      <c r="CP40" s="177">
        <f t="shared" si="30"/>
        <v>0</v>
      </c>
      <c r="CQ40" s="177">
        <f t="shared" si="30"/>
        <v>0</v>
      </c>
      <c r="CR40" s="177">
        <f t="shared" si="30"/>
        <v>0</v>
      </c>
      <c r="CS40" s="177">
        <f t="shared" si="30"/>
        <v>0</v>
      </c>
      <c r="CT40" s="177">
        <f t="shared" si="30"/>
        <v>0</v>
      </c>
      <c r="CU40" s="177">
        <f t="shared" si="30"/>
        <v>0</v>
      </c>
      <c r="CV40" s="177">
        <f t="shared" si="30"/>
        <v>0</v>
      </c>
      <c r="CW40" s="177">
        <f t="shared" si="30"/>
        <v>0</v>
      </c>
      <c r="CX40" s="177">
        <f t="shared" si="30"/>
        <v>0</v>
      </c>
      <c r="CY40" s="177">
        <f t="shared" si="30"/>
        <v>0</v>
      </c>
      <c r="CZ40" s="177">
        <f t="shared" si="30"/>
        <v>0</v>
      </c>
      <c r="DA40" s="177">
        <f t="shared" si="30"/>
        <v>0</v>
      </c>
      <c r="DB40" s="177">
        <f t="shared" si="30"/>
        <v>0</v>
      </c>
      <c r="DC40" s="177">
        <f t="shared" si="30"/>
        <v>0</v>
      </c>
      <c r="DD40" s="177">
        <f t="shared" si="30"/>
        <v>0</v>
      </c>
      <c r="DE40" s="177">
        <f t="shared" si="30"/>
        <v>0</v>
      </c>
      <c r="DF40" s="177">
        <f t="shared" si="30"/>
        <v>0</v>
      </c>
      <c r="DG40" s="177">
        <f t="shared" si="30"/>
        <v>0</v>
      </c>
      <c r="DH40" s="177">
        <f t="shared" si="30"/>
        <v>0</v>
      </c>
      <c r="DI40" s="177">
        <f t="shared" si="30"/>
        <v>0</v>
      </c>
      <c r="DJ40" s="177">
        <f t="shared" si="30"/>
        <v>0</v>
      </c>
      <c r="DK40" s="177">
        <f t="shared" si="30"/>
        <v>0</v>
      </c>
      <c r="DL40" s="177">
        <f t="shared" si="30"/>
        <v>0</v>
      </c>
      <c r="DM40" s="177">
        <f t="shared" si="30"/>
        <v>0</v>
      </c>
      <c r="DN40" s="177">
        <f t="shared" si="30"/>
        <v>0</v>
      </c>
      <c r="DO40" s="177">
        <f t="shared" si="30"/>
        <v>0</v>
      </c>
      <c r="DP40" s="177">
        <f t="shared" si="30"/>
        <v>0</v>
      </c>
      <c r="DQ40" s="177">
        <f t="shared" si="30"/>
        <v>0</v>
      </c>
      <c r="DR40" s="177">
        <f t="shared" si="30"/>
        <v>0</v>
      </c>
      <c r="DS40" s="177">
        <f t="shared" si="30"/>
        <v>0</v>
      </c>
      <c r="DT40" s="177">
        <f t="shared" si="30"/>
        <v>0</v>
      </c>
      <c r="DU40" s="177">
        <f t="shared" si="30"/>
        <v>0</v>
      </c>
      <c r="DV40" s="177">
        <f t="shared" si="30"/>
        <v>0</v>
      </c>
      <c r="DW40" s="177">
        <f t="shared" si="30"/>
        <v>0</v>
      </c>
      <c r="DX40" s="177">
        <f t="shared" si="30"/>
        <v>0</v>
      </c>
      <c r="DY40" s="177">
        <f t="shared" si="30"/>
        <v>0</v>
      </c>
      <c r="DZ40" s="177">
        <f t="shared" si="30"/>
        <v>0</v>
      </c>
      <c r="EA40" s="177">
        <f t="shared" si="30"/>
        <v>0</v>
      </c>
      <c r="EB40" s="177">
        <f t="shared" ref="EB40:FR40" si="31">EB39/3</f>
        <v>0</v>
      </c>
      <c r="EC40" s="177">
        <f t="shared" si="31"/>
        <v>0</v>
      </c>
      <c r="ED40" s="177">
        <f t="shared" si="31"/>
        <v>0</v>
      </c>
      <c r="EE40" s="177">
        <f t="shared" si="31"/>
        <v>0</v>
      </c>
      <c r="EF40" s="177">
        <f t="shared" si="31"/>
        <v>0</v>
      </c>
      <c r="EG40" s="177">
        <f t="shared" si="31"/>
        <v>0</v>
      </c>
      <c r="EH40" s="177">
        <f t="shared" si="31"/>
        <v>0</v>
      </c>
      <c r="EI40" s="177">
        <f t="shared" si="31"/>
        <v>0</v>
      </c>
      <c r="EJ40" s="177">
        <f t="shared" si="31"/>
        <v>0</v>
      </c>
      <c r="EK40" s="177">
        <f t="shared" si="31"/>
        <v>0</v>
      </c>
      <c r="EL40" s="177">
        <f t="shared" si="31"/>
        <v>0</v>
      </c>
      <c r="EM40" s="177">
        <f t="shared" si="31"/>
        <v>0</v>
      </c>
      <c r="EN40" s="177">
        <f t="shared" si="31"/>
        <v>0</v>
      </c>
      <c r="EO40" s="177">
        <f t="shared" si="31"/>
        <v>0</v>
      </c>
      <c r="EP40" s="177">
        <f t="shared" si="31"/>
        <v>0</v>
      </c>
      <c r="EQ40" s="177">
        <f t="shared" si="31"/>
        <v>0</v>
      </c>
      <c r="ER40" s="177">
        <f t="shared" si="31"/>
        <v>0</v>
      </c>
      <c r="ES40" s="177">
        <f t="shared" si="31"/>
        <v>0</v>
      </c>
      <c r="ET40" s="177">
        <f t="shared" si="31"/>
        <v>0</v>
      </c>
      <c r="EU40" s="177">
        <f t="shared" si="31"/>
        <v>0</v>
      </c>
      <c r="EV40" s="177">
        <f t="shared" si="31"/>
        <v>0</v>
      </c>
      <c r="EW40" s="177">
        <f t="shared" si="31"/>
        <v>0</v>
      </c>
      <c r="EX40" s="177">
        <f t="shared" si="31"/>
        <v>0</v>
      </c>
      <c r="EY40" s="177">
        <f t="shared" si="31"/>
        <v>0</v>
      </c>
      <c r="EZ40" s="177">
        <f t="shared" si="31"/>
        <v>0</v>
      </c>
      <c r="FA40" s="177">
        <f t="shared" si="31"/>
        <v>0</v>
      </c>
      <c r="FB40" s="177">
        <f t="shared" si="31"/>
        <v>0</v>
      </c>
      <c r="FC40" s="177">
        <f t="shared" si="31"/>
        <v>0</v>
      </c>
      <c r="FD40" s="177">
        <f t="shared" si="31"/>
        <v>0</v>
      </c>
      <c r="FE40" s="177">
        <f t="shared" si="31"/>
        <v>0</v>
      </c>
      <c r="FF40" s="177">
        <f t="shared" si="31"/>
        <v>0</v>
      </c>
      <c r="FG40" s="177">
        <f t="shared" si="31"/>
        <v>0</v>
      </c>
      <c r="FH40" s="177">
        <f t="shared" si="31"/>
        <v>0</v>
      </c>
      <c r="FI40" s="177">
        <f t="shared" si="31"/>
        <v>0</v>
      </c>
      <c r="FJ40" s="177">
        <f t="shared" si="31"/>
        <v>0</v>
      </c>
      <c r="FK40" s="177">
        <f t="shared" si="31"/>
        <v>0</v>
      </c>
      <c r="FL40" s="177">
        <f t="shared" si="31"/>
        <v>0</v>
      </c>
      <c r="FM40" s="177">
        <f t="shared" si="31"/>
        <v>0</v>
      </c>
      <c r="FN40" s="177">
        <f t="shared" si="31"/>
        <v>0</v>
      </c>
      <c r="FO40" s="177">
        <f t="shared" si="31"/>
        <v>0</v>
      </c>
      <c r="FP40" s="177">
        <f t="shared" si="31"/>
        <v>0</v>
      </c>
      <c r="FQ40" s="177">
        <f t="shared" si="31"/>
        <v>0</v>
      </c>
      <c r="FR40" s="177">
        <f t="shared" si="31"/>
        <v>0</v>
      </c>
    </row>
    <row r="41" spans="1:174" ht="15" customHeight="1" x14ac:dyDescent="0.3">
      <c r="A41" s="126"/>
      <c r="B41" s="172"/>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127"/>
      <c r="AB41" s="127"/>
      <c r="AC41" s="127"/>
      <c r="AD41" s="127"/>
      <c r="AE41" s="127"/>
      <c r="AF41" s="127"/>
      <c r="AG41" s="127"/>
      <c r="AH41" s="127"/>
      <c r="AI41" s="127"/>
      <c r="AJ41" s="127"/>
      <c r="AK41" s="127"/>
      <c r="AL41" s="127"/>
      <c r="AM41" s="127"/>
      <c r="AN41" s="127"/>
      <c r="AO41" s="127"/>
      <c r="AP41" s="127"/>
      <c r="AQ41" s="127"/>
      <c r="AR41" s="127"/>
      <c r="AS41" s="127"/>
      <c r="AT41" s="127"/>
      <c r="AU41" s="127"/>
      <c r="AV41" s="127"/>
      <c r="AW41" s="127"/>
      <c r="AX41" s="127"/>
      <c r="AY41" s="127"/>
      <c r="AZ41" s="127"/>
      <c r="BA41" s="127"/>
      <c r="BB41" s="127"/>
      <c r="BC41" s="127"/>
      <c r="BD41" s="127"/>
      <c r="BE41" s="127"/>
      <c r="BF41" s="127"/>
      <c r="BG41" s="127"/>
      <c r="BH41" s="127"/>
      <c r="BI41" s="127"/>
      <c r="BJ41" s="127"/>
      <c r="BK41" s="127"/>
      <c r="BL41" s="127"/>
      <c r="BM41" s="127"/>
      <c r="BN41" s="127"/>
      <c r="BO41" s="127"/>
      <c r="BP41" s="127"/>
      <c r="BQ41" s="127"/>
      <c r="BR41" s="127"/>
      <c r="BS41" s="127"/>
      <c r="BT41" s="127"/>
      <c r="BU41" s="127"/>
      <c r="BV41" s="127"/>
      <c r="BW41" s="127"/>
      <c r="BX41" s="127"/>
      <c r="BY41" s="127"/>
      <c r="BZ41" s="127"/>
      <c r="CA41" s="127"/>
      <c r="CB41" s="127"/>
      <c r="CC41" s="127"/>
      <c r="CD41" s="127"/>
      <c r="CE41" s="127"/>
      <c r="CF41" s="127"/>
      <c r="CG41" s="127"/>
      <c r="CH41" s="127"/>
      <c r="CI41" s="127"/>
      <c r="CJ41" s="127"/>
      <c r="CK41" s="127"/>
      <c r="CL41" s="127"/>
      <c r="CM41" s="127"/>
      <c r="CN41" s="127"/>
      <c r="CO41" s="127"/>
      <c r="CP41" s="127"/>
      <c r="CQ41" s="127"/>
      <c r="CR41" s="127"/>
      <c r="CS41" s="127"/>
      <c r="CT41" s="127"/>
      <c r="CU41" s="127"/>
      <c r="CV41" s="127"/>
      <c r="CW41" s="127"/>
      <c r="CX41" s="127"/>
      <c r="CY41" s="127"/>
      <c r="CZ41" s="127"/>
      <c r="DA41" s="127"/>
      <c r="DB41" s="127"/>
      <c r="DC41" s="127"/>
      <c r="DD41" s="127"/>
      <c r="DE41" s="127"/>
      <c r="DF41" s="127"/>
      <c r="DG41" s="127"/>
      <c r="DH41" s="127"/>
      <c r="DI41" s="127"/>
      <c r="DJ41" s="127"/>
      <c r="DK41" s="127"/>
      <c r="DL41" s="127"/>
      <c r="DM41" s="127"/>
      <c r="DN41" s="127"/>
      <c r="DO41" s="127"/>
      <c r="DP41" s="127"/>
      <c r="DQ41" s="127"/>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c r="EN41" s="127"/>
      <c r="EO41" s="127"/>
      <c r="EP41" s="127"/>
      <c r="EQ41" s="127"/>
      <c r="ER41" s="127"/>
      <c r="ES41" s="127"/>
      <c r="ET41" s="127"/>
      <c r="EU41" s="127"/>
      <c r="EV41" s="127"/>
      <c r="EW41" s="127"/>
      <c r="EX41" s="127"/>
      <c r="EY41" s="127"/>
      <c r="EZ41" s="127"/>
      <c r="FA41" s="127"/>
      <c r="FB41" s="127"/>
      <c r="FC41" s="127"/>
      <c r="FD41" s="127"/>
      <c r="FE41" s="127"/>
      <c r="FF41" s="127"/>
      <c r="FG41" s="127"/>
      <c r="FH41" s="127"/>
      <c r="FI41" s="127"/>
      <c r="FJ41" s="127"/>
      <c r="FK41" s="127"/>
      <c r="FL41" s="127"/>
      <c r="FM41" s="127"/>
      <c r="FN41" s="127"/>
      <c r="FO41" s="127"/>
      <c r="FP41" s="127"/>
      <c r="FQ41" s="127"/>
      <c r="FR41" s="127"/>
    </row>
    <row r="42" spans="1:174" ht="15" customHeight="1" thickBot="1" x14ac:dyDescent="0.35">
      <c r="A42" s="123">
        <v>1.4</v>
      </c>
      <c r="B42" s="124" t="s">
        <v>12</v>
      </c>
      <c r="C42" s="111"/>
      <c r="D42" s="111"/>
      <c r="E42" s="111"/>
      <c r="F42" s="111"/>
      <c r="G42" s="111"/>
      <c r="H42" s="111"/>
      <c r="I42" s="111"/>
      <c r="J42" s="111"/>
      <c r="K42" s="111"/>
      <c r="L42" s="111"/>
      <c r="M42" s="111"/>
      <c r="N42" s="111"/>
      <c r="O42" s="111"/>
      <c r="P42" s="111"/>
      <c r="Q42" s="111"/>
      <c r="R42" s="111"/>
      <c r="S42" s="111"/>
      <c r="T42" s="111"/>
      <c r="U42" s="111"/>
      <c r="V42" s="111"/>
      <c r="W42" s="111"/>
      <c r="X42" s="111"/>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c r="AV42" s="111"/>
      <c r="AW42" s="111"/>
      <c r="AX42" s="111"/>
      <c r="AY42" s="111"/>
      <c r="AZ42" s="111"/>
      <c r="BA42" s="111"/>
      <c r="BB42" s="111"/>
      <c r="BC42" s="111"/>
      <c r="BD42" s="111"/>
      <c r="BE42" s="111"/>
      <c r="BF42" s="111"/>
      <c r="BG42" s="111"/>
      <c r="BH42" s="111"/>
      <c r="BI42" s="111"/>
      <c r="BJ42" s="111"/>
      <c r="BK42" s="111"/>
      <c r="BL42" s="111"/>
      <c r="BM42" s="111"/>
      <c r="BN42" s="111"/>
      <c r="BO42" s="111"/>
      <c r="BP42" s="111"/>
      <c r="BQ42" s="111"/>
      <c r="BR42" s="111"/>
      <c r="BS42" s="111"/>
      <c r="BT42" s="111"/>
      <c r="BU42" s="111"/>
      <c r="BV42" s="111"/>
      <c r="BW42" s="111"/>
      <c r="BX42" s="111"/>
      <c r="BY42" s="111"/>
      <c r="BZ42" s="111"/>
      <c r="CA42" s="111"/>
      <c r="CB42" s="111"/>
      <c r="CC42" s="111"/>
      <c r="CD42" s="111"/>
      <c r="CE42" s="111"/>
      <c r="CF42" s="111"/>
      <c r="CG42" s="111"/>
      <c r="CH42" s="111"/>
      <c r="CI42" s="111"/>
      <c r="CJ42" s="111"/>
      <c r="CK42" s="111"/>
      <c r="CL42" s="111"/>
      <c r="CM42" s="111"/>
      <c r="CN42" s="111"/>
      <c r="CO42" s="111"/>
      <c r="CP42" s="111"/>
      <c r="CQ42" s="111"/>
      <c r="CR42" s="111"/>
      <c r="CS42" s="111"/>
      <c r="CT42" s="111"/>
      <c r="CU42" s="111"/>
      <c r="CV42" s="111"/>
      <c r="CW42" s="111"/>
      <c r="CX42" s="111"/>
      <c r="CY42" s="111"/>
      <c r="CZ42" s="111"/>
      <c r="DA42" s="111"/>
      <c r="DB42" s="111"/>
      <c r="DC42" s="111"/>
      <c r="DD42" s="111"/>
      <c r="DE42" s="111"/>
      <c r="DF42" s="111"/>
      <c r="DG42" s="111"/>
      <c r="DH42" s="111"/>
      <c r="DI42" s="111"/>
      <c r="DJ42" s="111"/>
      <c r="DK42" s="111"/>
      <c r="DL42" s="111"/>
      <c r="DM42" s="111"/>
      <c r="DN42" s="111"/>
      <c r="DO42" s="111"/>
      <c r="DP42" s="111"/>
      <c r="DQ42" s="111"/>
      <c r="DR42" s="111"/>
      <c r="DS42" s="111"/>
      <c r="DT42" s="111"/>
      <c r="DU42" s="111"/>
      <c r="DV42" s="111"/>
      <c r="DW42" s="111"/>
      <c r="DX42" s="111"/>
      <c r="DY42" s="111"/>
      <c r="DZ42" s="111"/>
      <c r="EA42" s="111"/>
      <c r="EB42" s="111"/>
      <c r="EC42" s="111"/>
      <c r="ED42" s="111"/>
      <c r="EE42" s="111"/>
      <c r="EF42" s="111"/>
      <c r="EG42" s="111"/>
      <c r="EH42" s="111"/>
      <c r="EI42" s="111"/>
      <c r="EJ42" s="111"/>
      <c r="EK42" s="111"/>
      <c r="EL42" s="111"/>
      <c r="EM42" s="111"/>
      <c r="EN42" s="111"/>
      <c r="EO42" s="111"/>
      <c r="EP42" s="111"/>
      <c r="EQ42" s="111"/>
      <c r="ER42" s="111"/>
      <c r="ES42" s="111"/>
      <c r="ET42" s="111"/>
      <c r="EU42" s="111"/>
      <c r="EV42" s="111"/>
      <c r="EW42" s="111"/>
      <c r="EX42" s="111"/>
      <c r="EY42" s="111"/>
      <c r="EZ42" s="111"/>
      <c r="FA42" s="111"/>
      <c r="FB42" s="111"/>
      <c r="FC42" s="111"/>
      <c r="FD42" s="111"/>
      <c r="FE42" s="111"/>
      <c r="FF42" s="111"/>
      <c r="FG42" s="111"/>
      <c r="FH42" s="111"/>
      <c r="FI42" s="111"/>
      <c r="FJ42" s="111"/>
      <c r="FK42" s="111"/>
      <c r="FL42" s="111"/>
      <c r="FM42" s="111"/>
      <c r="FN42" s="111"/>
      <c r="FO42" s="111"/>
      <c r="FP42" s="111"/>
      <c r="FQ42" s="111"/>
      <c r="FR42" s="111"/>
    </row>
    <row r="43" spans="1:174" ht="25.05" customHeight="1" x14ac:dyDescent="0.3">
      <c r="A43" s="164" t="s">
        <v>22</v>
      </c>
      <c r="B43" s="165" t="s">
        <v>40</v>
      </c>
      <c r="C43" s="175">
        <v>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c r="AX43" s="175"/>
      <c r="AY43" s="175"/>
      <c r="AZ43" s="175"/>
      <c r="BA43" s="175"/>
      <c r="BB43" s="175"/>
      <c r="BC43" s="175"/>
      <c r="BD43" s="175"/>
      <c r="BE43" s="175"/>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c r="CH43" s="175"/>
      <c r="CI43" s="175"/>
      <c r="CJ43" s="175"/>
      <c r="CK43" s="175"/>
      <c r="CL43" s="175"/>
      <c r="CM43" s="175"/>
      <c r="CN43" s="175"/>
      <c r="CO43" s="175"/>
      <c r="CP43" s="175"/>
      <c r="CQ43" s="175"/>
      <c r="CR43" s="175"/>
      <c r="CS43" s="175"/>
      <c r="CT43" s="175"/>
      <c r="CU43" s="175"/>
      <c r="CV43" s="175"/>
      <c r="CW43" s="175"/>
      <c r="CX43" s="175"/>
      <c r="CY43" s="175"/>
      <c r="CZ43" s="175"/>
      <c r="DA43" s="175"/>
      <c r="DB43" s="175"/>
      <c r="DC43" s="175"/>
      <c r="DD43" s="175"/>
      <c r="DE43" s="175"/>
      <c r="DF43" s="175"/>
      <c r="DG43" s="175"/>
      <c r="DH43" s="175"/>
      <c r="DI43" s="175"/>
      <c r="DJ43" s="175"/>
      <c r="DK43" s="175"/>
      <c r="DL43" s="175"/>
      <c r="DM43" s="175"/>
      <c r="DN43" s="175"/>
      <c r="DO43" s="175"/>
      <c r="DP43" s="175"/>
      <c r="DQ43" s="175"/>
      <c r="DR43" s="175"/>
      <c r="DS43" s="175"/>
      <c r="DT43" s="175"/>
      <c r="DU43" s="175"/>
      <c r="DV43" s="175"/>
      <c r="DW43" s="175"/>
      <c r="DX43" s="175"/>
      <c r="DY43" s="175"/>
      <c r="DZ43" s="175"/>
      <c r="EA43" s="175"/>
      <c r="EB43" s="175"/>
      <c r="EC43" s="175"/>
      <c r="ED43" s="175"/>
      <c r="EE43" s="175"/>
      <c r="EF43" s="175"/>
      <c r="EG43" s="175"/>
      <c r="EH43" s="175"/>
      <c r="EI43" s="175"/>
      <c r="EJ43" s="175"/>
      <c r="EK43" s="175"/>
      <c r="EL43" s="175"/>
      <c r="EM43" s="175"/>
      <c r="EN43" s="175"/>
      <c r="EO43" s="175"/>
      <c r="EP43" s="175"/>
      <c r="EQ43" s="175"/>
      <c r="ER43" s="175"/>
      <c r="ES43" s="175"/>
      <c r="ET43" s="175"/>
      <c r="EU43" s="175"/>
      <c r="EV43" s="175"/>
      <c r="EW43" s="175"/>
      <c r="EX43" s="175"/>
      <c r="EY43" s="175"/>
      <c r="EZ43" s="175"/>
      <c r="FA43" s="175"/>
      <c r="FB43" s="175"/>
      <c r="FC43" s="175"/>
      <c r="FD43" s="175"/>
      <c r="FE43" s="175"/>
      <c r="FF43" s="175"/>
      <c r="FG43" s="175"/>
      <c r="FH43" s="175"/>
      <c r="FI43" s="175"/>
      <c r="FJ43" s="175"/>
      <c r="FK43" s="175"/>
      <c r="FL43" s="175"/>
      <c r="FM43" s="175"/>
      <c r="FN43" s="175"/>
      <c r="FO43" s="175"/>
      <c r="FP43" s="175"/>
      <c r="FQ43" s="175"/>
      <c r="FR43" s="175"/>
    </row>
    <row r="44" spans="1:174" ht="25.05" customHeight="1" x14ac:dyDescent="0.3">
      <c r="A44" s="166" t="s">
        <v>24</v>
      </c>
      <c r="B44" s="167" t="s">
        <v>56</v>
      </c>
      <c r="C44" s="175">
        <v>9</v>
      </c>
      <c r="D44" s="175"/>
      <c r="E44" s="175"/>
      <c r="F44" s="175"/>
      <c r="G44" s="175"/>
      <c r="H44" s="175"/>
      <c r="I44" s="175"/>
      <c r="J44" s="175"/>
      <c r="K44" s="175"/>
      <c r="L44" s="175"/>
      <c r="M44" s="175"/>
      <c r="N44" s="175"/>
      <c r="O44" s="175"/>
      <c r="P44" s="175"/>
      <c r="Q44" s="175"/>
      <c r="R44" s="175"/>
      <c r="S44" s="175"/>
      <c r="T44" s="175"/>
      <c r="U44" s="175"/>
      <c r="V44" s="175"/>
      <c r="W44" s="175"/>
      <c r="X44" s="175"/>
      <c r="Y44" s="175"/>
      <c r="Z44" s="175"/>
      <c r="AA44" s="175"/>
      <c r="AB44" s="175"/>
      <c r="AC44" s="175"/>
      <c r="AD44" s="175"/>
      <c r="AE44" s="175"/>
      <c r="AF44" s="175"/>
      <c r="AG44" s="175"/>
      <c r="AH44" s="175"/>
      <c r="AI44" s="175"/>
      <c r="AJ44" s="175"/>
      <c r="AK44" s="175"/>
      <c r="AL44" s="175"/>
      <c r="AM44" s="175"/>
      <c r="AN44" s="175"/>
      <c r="AO44" s="175"/>
      <c r="AP44" s="175"/>
      <c r="AQ44" s="175"/>
      <c r="AR44" s="175"/>
      <c r="AS44" s="175"/>
      <c r="AT44" s="175"/>
      <c r="AU44" s="175"/>
      <c r="AV44" s="175"/>
      <c r="AW44" s="175"/>
      <c r="AX44" s="175"/>
      <c r="AY44" s="175"/>
      <c r="AZ44" s="175"/>
      <c r="BA44" s="175"/>
      <c r="BB44" s="175"/>
      <c r="BC44" s="175"/>
      <c r="BD44" s="175"/>
      <c r="BE44" s="175"/>
      <c r="BF44" s="175"/>
      <c r="BG44" s="175"/>
      <c r="BH44" s="175"/>
      <c r="BI44" s="175"/>
      <c r="BJ44" s="175"/>
      <c r="BK44" s="175"/>
      <c r="BL44" s="175"/>
      <c r="BM44" s="175"/>
      <c r="BN44" s="175"/>
      <c r="BO44" s="175"/>
      <c r="BP44" s="175"/>
      <c r="BQ44" s="175"/>
      <c r="BR44" s="175"/>
      <c r="BS44" s="175"/>
      <c r="BT44" s="175"/>
      <c r="BU44" s="175"/>
      <c r="BV44" s="175"/>
      <c r="BW44" s="175"/>
      <c r="BX44" s="175"/>
      <c r="BY44" s="175"/>
      <c r="BZ44" s="175"/>
      <c r="CA44" s="175"/>
      <c r="CB44" s="175"/>
      <c r="CC44" s="175"/>
      <c r="CD44" s="175"/>
      <c r="CE44" s="175"/>
      <c r="CF44" s="175"/>
      <c r="CG44" s="175"/>
      <c r="CH44" s="175"/>
      <c r="CI44" s="175"/>
      <c r="CJ44" s="175"/>
      <c r="CK44" s="175"/>
      <c r="CL44" s="175"/>
      <c r="CM44" s="175"/>
      <c r="CN44" s="175"/>
      <c r="CO44" s="175"/>
      <c r="CP44" s="175"/>
      <c r="CQ44" s="175"/>
      <c r="CR44" s="175"/>
      <c r="CS44" s="175"/>
      <c r="CT44" s="175"/>
      <c r="CU44" s="175"/>
      <c r="CV44" s="175"/>
      <c r="CW44" s="175"/>
      <c r="CX44" s="175"/>
      <c r="CY44" s="175"/>
      <c r="CZ44" s="175"/>
      <c r="DA44" s="175"/>
      <c r="DB44" s="175"/>
      <c r="DC44" s="175"/>
      <c r="DD44" s="175"/>
      <c r="DE44" s="175"/>
      <c r="DF44" s="175"/>
      <c r="DG44" s="175"/>
      <c r="DH44" s="175"/>
      <c r="DI44" s="175"/>
      <c r="DJ44" s="175"/>
      <c r="DK44" s="175"/>
      <c r="DL44" s="175"/>
      <c r="DM44" s="175"/>
      <c r="DN44" s="175"/>
      <c r="DO44" s="175"/>
      <c r="DP44" s="175"/>
      <c r="DQ44" s="175"/>
      <c r="DR44" s="175"/>
      <c r="DS44" s="175"/>
      <c r="DT44" s="175"/>
      <c r="DU44" s="175"/>
      <c r="DV44" s="175"/>
      <c r="DW44" s="175"/>
      <c r="DX44" s="175"/>
      <c r="DY44" s="175"/>
      <c r="DZ44" s="175"/>
      <c r="EA44" s="175"/>
      <c r="EB44" s="175"/>
      <c r="EC44" s="175"/>
      <c r="ED44" s="175"/>
      <c r="EE44" s="175"/>
      <c r="EF44" s="175"/>
      <c r="EG44" s="175"/>
      <c r="EH44" s="175"/>
      <c r="EI44" s="175"/>
      <c r="EJ44" s="175"/>
      <c r="EK44" s="175"/>
      <c r="EL44" s="175"/>
      <c r="EM44" s="175"/>
      <c r="EN44" s="175"/>
      <c r="EO44" s="175"/>
      <c r="EP44" s="175"/>
      <c r="EQ44" s="175"/>
      <c r="ER44" s="175"/>
      <c r="ES44" s="175"/>
      <c r="ET44" s="175"/>
      <c r="EU44" s="175"/>
      <c r="EV44" s="175"/>
      <c r="EW44" s="175"/>
      <c r="EX44" s="175"/>
      <c r="EY44" s="175"/>
      <c r="EZ44" s="175"/>
      <c r="FA44" s="175"/>
      <c r="FB44" s="175"/>
      <c r="FC44" s="175"/>
      <c r="FD44" s="175"/>
      <c r="FE44" s="175"/>
      <c r="FF44" s="175"/>
      <c r="FG44" s="175"/>
      <c r="FH44" s="175"/>
      <c r="FI44" s="175"/>
      <c r="FJ44" s="175"/>
      <c r="FK44" s="175"/>
      <c r="FL44" s="175"/>
      <c r="FM44" s="175"/>
      <c r="FN44" s="175"/>
      <c r="FO44" s="175"/>
      <c r="FP44" s="175"/>
      <c r="FQ44" s="175"/>
      <c r="FR44" s="175"/>
    </row>
    <row r="45" spans="1:174" ht="25.05" customHeight="1" x14ac:dyDescent="0.3">
      <c r="A45" s="166" t="s">
        <v>26</v>
      </c>
      <c r="B45" s="167" t="s">
        <v>135</v>
      </c>
      <c r="C45" s="175">
        <v>9</v>
      </c>
      <c r="D45" s="175"/>
      <c r="E45" s="175"/>
      <c r="F45" s="175"/>
      <c r="G45" s="175"/>
      <c r="H45" s="175"/>
      <c r="I45" s="175"/>
      <c r="J45" s="175"/>
      <c r="K45" s="175"/>
      <c r="L45" s="175"/>
      <c r="M45" s="175"/>
      <c r="N45" s="175"/>
      <c r="O45" s="175"/>
      <c r="P45" s="175"/>
      <c r="Q45" s="175"/>
      <c r="R45" s="175"/>
      <c r="S45" s="175"/>
      <c r="T45" s="175"/>
      <c r="U45" s="175"/>
      <c r="V45" s="175"/>
      <c r="W45" s="175"/>
      <c r="X45" s="175"/>
      <c r="Y45" s="175"/>
      <c r="Z45" s="175"/>
      <c r="AA45" s="175"/>
      <c r="AB45" s="175"/>
      <c r="AC45" s="175"/>
      <c r="AD45" s="175"/>
      <c r="AE45" s="175"/>
      <c r="AF45" s="175"/>
      <c r="AG45" s="175"/>
      <c r="AH45" s="175"/>
      <c r="AI45" s="175"/>
      <c r="AJ45" s="175"/>
      <c r="AK45" s="175"/>
      <c r="AL45" s="175"/>
      <c r="AM45" s="175"/>
      <c r="AN45" s="175"/>
      <c r="AO45" s="175"/>
      <c r="AP45" s="175"/>
      <c r="AQ45" s="175"/>
      <c r="AR45" s="175"/>
      <c r="AS45" s="175"/>
      <c r="AT45" s="175"/>
      <c r="AU45" s="175"/>
      <c r="AV45" s="175"/>
      <c r="AW45" s="175"/>
      <c r="AX45" s="175"/>
      <c r="AY45" s="175"/>
      <c r="AZ45" s="175"/>
      <c r="BA45" s="175"/>
      <c r="BB45" s="175"/>
      <c r="BC45" s="175"/>
      <c r="BD45" s="175"/>
      <c r="BE45" s="175"/>
      <c r="BF45" s="175"/>
      <c r="BG45" s="175"/>
      <c r="BH45" s="175"/>
      <c r="BI45" s="175"/>
      <c r="BJ45" s="175"/>
      <c r="BK45" s="175"/>
      <c r="BL45" s="175"/>
      <c r="BM45" s="175"/>
      <c r="BN45" s="175"/>
      <c r="BO45" s="175"/>
      <c r="BP45" s="175"/>
      <c r="BQ45" s="175"/>
      <c r="BR45" s="175"/>
      <c r="BS45" s="175"/>
      <c r="BT45" s="175"/>
      <c r="BU45" s="175"/>
      <c r="BV45" s="175"/>
      <c r="BW45" s="175"/>
      <c r="BX45" s="175"/>
      <c r="BY45" s="175"/>
      <c r="BZ45" s="175"/>
      <c r="CA45" s="175"/>
      <c r="CB45" s="175"/>
      <c r="CC45" s="175"/>
      <c r="CD45" s="175"/>
      <c r="CE45" s="175"/>
      <c r="CF45" s="175"/>
      <c r="CG45" s="175"/>
      <c r="CH45" s="175"/>
      <c r="CI45" s="175"/>
      <c r="CJ45" s="175"/>
      <c r="CK45" s="175"/>
      <c r="CL45" s="175"/>
      <c r="CM45" s="175"/>
      <c r="CN45" s="175"/>
      <c r="CO45" s="175"/>
      <c r="CP45" s="175"/>
      <c r="CQ45" s="175"/>
      <c r="CR45" s="175"/>
      <c r="CS45" s="175"/>
      <c r="CT45" s="175"/>
      <c r="CU45" s="175"/>
      <c r="CV45" s="175"/>
      <c r="CW45" s="175"/>
      <c r="CX45" s="175"/>
      <c r="CY45" s="175"/>
      <c r="CZ45" s="175"/>
      <c r="DA45" s="175"/>
      <c r="DB45" s="175"/>
      <c r="DC45" s="175"/>
      <c r="DD45" s="175"/>
      <c r="DE45" s="175"/>
      <c r="DF45" s="175"/>
      <c r="DG45" s="175"/>
      <c r="DH45" s="175"/>
      <c r="DI45" s="175"/>
      <c r="DJ45" s="175"/>
      <c r="DK45" s="175"/>
      <c r="DL45" s="175"/>
      <c r="DM45" s="175"/>
      <c r="DN45" s="175"/>
      <c r="DO45" s="175"/>
      <c r="DP45" s="175"/>
      <c r="DQ45" s="175"/>
      <c r="DR45" s="175"/>
      <c r="DS45" s="175"/>
      <c r="DT45" s="175"/>
      <c r="DU45" s="175"/>
      <c r="DV45" s="175"/>
      <c r="DW45" s="175"/>
      <c r="DX45" s="175"/>
      <c r="DY45" s="175"/>
      <c r="DZ45" s="175"/>
      <c r="EA45" s="175"/>
      <c r="EB45" s="175"/>
      <c r="EC45" s="175"/>
      <c r="ED45" s="175"/>
      <c r="EE45" s="175"/>
      <c r="EF45" s="175"/>
      <c r="EG45" s="175"/>
      <c r="EH45" s="175"/>
      <c r="EI45" s="175"/>
      <c r="EJ45" s="175"/>
      <c r="EK45" s="175"/>
      <c r="EL45" s="175"/>
      <c r="EM45" s="175"/>
      <c r="EN45" s="175"/>
      <c r="EO45" s="175"/>
      <c r="EP45" s="175"/>
      <c r="EQ45" s="175"/>
      <c r="ER45" s="175"/>
      <c r="ES45" s="175"/>
      <c r="ET45" s="175"/>
      <c r="EU45" s="175"/>
      <c r="EV45" s="175"/>
      <c r="EW45" s="175"/>
      <c r="EX45" s="175"/>
      <c r="EY45" s="175"/>
      <c r="EZ45" s="175"/>
      <c r="FA45" s="175"/>
      <c r="FB45" s="175"/>
      <c r="FC45" s="175"/>
      <c r="FD45" s="175"/>
      <c r="FE45" s="175"/>
      <c r="FF45" s="175"/>
      <c r="FG45" s="175"/>
      <c r="FH45" s="175"/>
      <c r="FI45" s="175"/>
      <c r="FJ45" s="175"/>
      <c r="FK45" s="175"/>
      <c r="FL45" s="175"/>
      <c r="FM45" s="175"/>
      <c r="FN45" s="175"/>
      <c r="FO45" s="175"/>
      <c r="FP45" s="175"/>
      <c r="FQ45" s="175"/>
      <c r="FR45" s="175"/>
    </row>
    <row r="46" spans="1:174" ht="15" customHeight="1" x14ac:dyDescent="0.3">
      <c r="A46" s="168"/>
      <c r="B46" s="174" t="s">
        <v>32</v>
      </c>
      <c r="C46" s="176">
        <f>SUM(C43:C45)</f>
        <v>27</v>
      </c>
      <c r="D46" s="176">
        <f t="shared" ref="D46:BO46" si="32">SUM(D43:D45)</f>
        <v>0</v>
      </c>
      <c r="E46" s="176">
        <f t="shared" si="32"/>
        <v>0</v>
      </c>
      <c r="F46" s="176">
        <f t="shared" si="32"/>
        <v>0</v>
      </c>
      <c r="G46" s="176">
        <f t="shared" si="32"/>
        <v>0</v>
      </c>
      <c r="H46" s="176">
        <f t="shared" si="32"/>
        <v>0</v>
      </c>
      <c r="I46" s="176">
        <f t="shared" si="32"/>
        <v>0</v>
      </c>
      <c r="J46" s="176">
        <f t="shared" si="32"/>
        <v>0</v>
      </c>
      <c r="K46" s="176">
        <f t="shared" si="32"/>
        <v>0</v>
      </c>
      <c r="L46" s="176">
        <f t="shared" si="32"/>
        <v>0</v>
      </c>
      <c r="M46" s="176">
        <f t="shared" si="32"/>
        <v>0</v>
      </c>
      <c r="N46" s="176">
        <f t="shared" si="32"/>
        <v>0</v>
      </c>
      <c r="O46" s="176">
        <f t="shared" si="32"/>
        <v>0</v>
      </c>
      <c r="P46" s="176">
        <f t="shared" si="32"/>
        <v>0</v>
      </c>
      <c r="Q46" s="176">
        <f t="shared" si="32"/>
        <v>0</v>
      </c>
      <c r="R46" s="176">
        <f t="shared" si="32"/>
        <v>0</v>
      </c>
      <c r="S46" s="176">
        <f t="shared" si="32"/>
        <v>0</v>
      </c>
      <c r="T46" s="176">
        <f t="shared" si="32"/>
        <v>0</v>
      </c>
      <c r="U46" s="176">
        <f t="shared" si="32"/>
        <v>0</v>
      </c>
      <c r="V46" s="176">
        <f t="shared" si="32"/>
        <v>0</v>
      </c>
      <c r="W46" s="176">
        <f t="shared" si="32"/>
        <v>0</v>
      </c>
      <c r="X46" s="176">
        <f t="shared" si="32"/>
        <v>0</v>
      </c>
      <c r="Y46" s="176">
        <f t="shared" si="32"/>
        <v>0</v>
      </c>
      <c r="Z46" s="176">
        <f t="shared" si="32"/>
        <v>0</v>
      </c>
      <c r="AA46" s="176">
        <f t="shared" si="32"/>
        <v>0</v>
      </c>
      <c r="AB46" s="176">
        <f t="shared" si="32"/>
        <v>0</v>
      </c>
      <c r="AC46" s="176">
        <f t="shared" si="32"/>
        <v>0</v>
      </c>
      <c r="AD46" s="176">
        <f t="shared" si="32"/>
        <v>0</v>
      </c>
      <c r="AE46" s="176">
        <f t="shared" si="32"/>
        <v>0</v>
      </c>
      <c r="AF46" s="176">
        <f t="shared" si="32"/>
        <v>0</v>
      </c>
      <c r="AG46" s="176">
        <f t="shared" si="32"/>
        <v>0</v>
      </c>
      <c r="AH46" s="176">
        <f t="shared" si="32"/>
        <v>0</v>
      </c>
      <c r="AI46" s="176">
        <f t="shared" si="32"/>
        <v>0</v>
      </c>
      <c r="AJ46" s="176">
        <f t="shared" si="32"/>
        <v>0</v>
      </c>
      <c r="AK46" s="176">
        <f t="shared" si="32"/>
        <v>0</v>
      </c>
      <c r="AL46" s="176">
        <f t="shared" si="32"/>
        <v>0</v>
      </c>
      <c r="AM46" s="176">
        <f t="shared" si="32"/>
        <v>0</v>
      </c>
      <c r="AN46" s="176">
        <f t="shared" si="32"/>
        <v>0</v>
      </c>
      <c r="AO46" s="176">
        <f t="shared" si="32"/>
        <v>0</v>
      </c>
      <c r="AP46" s="176">
        <f t="shared" si="32"/>
        <v>0</v>
      </c>
      <c r="AQ46" s="176">
        <f t="shared" si="32"/>
        <v>0</v>
      </c>
      <c r="AR46" s="176">
        <f t="shared" si="32"/>
        <v>0</v>
      </c>
      <c r="AS46" s="176">
        <f t="shared" si="32"/>
        <v>0</v>
      </c>
      <c r="AT46" s="176">
        <f t="shared" si="32"/>
        <v>0</v>
      </c>
      <c r="AU46" s="176">
        <f t="shared" si="32"/>
        <v>0</v>
      </c>
      <c r="AV46" s="176">
        <f t="shared" si="32"/>
        <v>0</v>
      </c>
      <c r="AW46" s="176">
        <f t="shared" si="32"/>
        <v>0</v>
      </c>
      <c r="AX46" s="176">
        <f t="shared" si="32"/>
        <v>0</v>
      </c>
      <c r="AY46" s="176">
        <f t="shared" si="32"/>
        <v>0</v>
      </c>
      <c r="AZ46" s="176">
        <f t="shared" si="32"/>
        <v>0</v>
      </c>
      <c r="BA46" s="176">
        <f t="shared" si="32"/>
        <v>0</v>
      </c>
      <c r="BB46" s="176">
        <f t="shared" si="32"/>
        <v>0</v>
      </c>
      <c r="BC46" s="176">
        <f t="shared" si="32"/>
        <v>0</v>
      </c>
      <c r="BD46" s="176">
        <f t="shared" si="32"/>
        <v>0</v>
      </c>
      <c r="BE46" s="176">
        <f t="shared" si="32"/>
        <v>0</v>
      </c>
      <c r="BF46" s="176">
        <f t="shared" si="32"/>
        <v>0</v>
      </c>
      <c r="BG46" s="176">
        <f t="shared" si="32"/>
        <v>0</v>
      </c>
      <c r="BH46" s="176">
        <f t="shared" si="32"/>
        <v>0</v>
      </c>
      <c r="BI46" s="176">
        <f t="shared" si="32"/>
        <v>0</v>
      </c>
      <c r="BJ46" s="176">
        <f t="shared" si="32"/>
        <v>0</v>
      </c>
      <c r="BK46" s="176">
        <f t="shared" si="32"/>
        <v>0</v>
      </c>
      <c r="BL46" s="176">
        <f t="shared" si="32"/>
        <v>0</v>
      </c>
      <c r="BM46" s="176">
        <f t="shared" si="32"/>
        <v>0</v>
      </c>
      <c r="BN46" s="176">
        <f t="shared" si="32"/>
        <v>0</v>
      </c>
      <c r="BO46" s="176">
        <f t="shared" si="32"/>
        <v>0</v>
      </c>
      <c r="BP46" s="176">
        <f t="shared" ref="BP46:EA46" si="33">SUM(BP43:BP45)</f>
        <v>0</v>
      </c>
      <c r="BQ46" s="176">
        <f t="shared" si="33"/>
        <v>0</v>
      </c>
      <c r="BR46" s="176">
        <f t="shared" si="33"/>
        <v>0</v>
      </c>
      <c r="BS46" s="176">
        <f t="shared" si="33"/>
        <v>0</v>
      </c>
      <c r="BT46" s="176">
        <f t="shared" si="33"/>
        <v>0</v>
      </c>
      <c r="BU46" s="176">
        <f t="shared" si="33"/>
        <v>0</v>
      </c>
      <c r="BV46" s="176">
        <f t="shared" si="33"/>
        <v>0</v>
      </c>
      <c r="BW46" s="176">
        <f t="shared" si="33"/>
        <v>0</v>
      </c>
      <c r="BX46" s="176">
        <f t="shared" si="33"/>
        <v>0</v>
      </c>
      <c r="BY46" s="176">
        <f t="shared" si="33"/>
        <v>0</v>
      </c>
      <c r="BZ46" s="176">
        <f t="shared" si="33"/>
        <v>0</v>
      </c>
      <c r="CA46" s="176">
        <f t="shared" si="33"/>
        <v>0</v>
      </c>
      <c r="CB46" s="176">
        <f t="shared" si="33"/>
        <v>0</v>
      </c>
      <c r="CC46" s="176">
        <f t="shared" si="33"/>
        <v>0</v>
      </c>
      <c r="CD46" s="176">
        <f t="shared" si="33"/>
        <v>0</v>
      </c>
      <c r="CE46" s="176">
        <f t="shared" si="33"/>
        <v>0</v>
      </c>
      <c r="CF46" s="176">
        <f t="shared" si="33"/>
        <v>0</v>
      </c>
      <c r="CG46" s="176">
        <f t="shared" si="33"/>
        <v>0</v>
      </c>
      <c r="CH46" s="176">
        <f t="shared" si="33"/>
        <v>0</v>
      </c>
      <c r="CI46" s="176">
        <f t="shared" si="33"/>
        <v>0</v>
      </c>
      <c r="CJ46" s="176">
        <f t="shared" si="33"/>
        <v>0</v>
      </c>
      <c r="CK46" s="176">
        <f t="shared" si="33"/>
        <v>0</v>
      </c>
      <c r="CL46" s="176">
        <f t="shared" si="33"/>
        <v>0</v>
      </c>
      <c r="CM46" s="176">
        <f t="shared" si="33"/>
        <v>0</v>
      </c>
      <c r="CN46" s="176">
        <f t="shared" si="33"/>
        <v>0</v>
      </c>
      <c r="CO46" s="176">
        <f t="shared" si="33"/>
        <v>0</v>
      </c>
      <c r="CP46" s="176">
        <f t="shared" si="33"/>
        <v>0</v>
      </c>
      <c r="CQ46" s="176">
        <f t="shared" si="33"/>
        <v>0</v>
      </c>
      <c r="CR46" s="176">
        <f t="shared" si="33"/>
        <v>0</v>
      </c>
      <c r="CS46" s="176">
        <f t="shared" si="33"/>
        <v>0</v>
      </c>
      <c r="CT46" s="176">
        <f t="shared" si="33"/>
        <v>0</v>
      </c>
      <c r="CU46" s="176">
        <f t="shared" si="33"/>
        <v>0</v>
      </c>
      <c r="CV46" s="176">
        <f t="shared" si="33"/>
        <v>0</v>
      </c>
      <c r="CW46" s="176">
        <f t="shared" si="33"/>
        <v>0</v>
      </c>
      <c r="CX46" s="176">
        <f t="shared" si="33"/>
        <v>0</v>
      </c>
      <c r="CY46" s="176">
        <f t="shared" si="33"/>
        <v>0</v>
      </c>
      <c r="CZ46" s="176">
        <f t="shared" si="33"/>
        <v>0</v>
      </c>
      <c r="DA46" s="176">
        <f t="shared" si="33"/>
        <v>0</v>
      </c>
      <c r="DB46" s="176">
        <f t="shared" si="33"/>
        <v>0</v>
      </c>
      <c r="DC46" s="176">
        <f t="shared" si="33"/>
        <v>0</v>
      </c>
      <c r="DD46" s="176">
        <f t="shared" si="33"/>
        <v>0</v>
      </c>
      <c r="DE46" s="176">
        <f t="shared" si="33"/>
        <v>0</v>
      </c>
      <c r="DF46" s="176">
        <f t="shared" si="33"/>
        <v>0</v>
      </c>
      <c r="DG46" s="176">
        <f t="shared" si="33"/>
        <v>0</v>
      </c>
      <c r="DH46" s="176">
        <f t="shared" si="33"/>
        <v>0</v>
      </c>
      <c r="DI46" s="176">
        <f t="shared" si="33"/>
        <v>0</v>
      </c>
      <c r="DJ46" s="176">
        <f t="shared" si="33"/>
        <v>0</v>
      </c>
      <c r="DK46" s="176">
        <f t="shared" si="33"/>
        <v>0</v>
      </c>
      <c r="DL46" s="176">
        <f t="shared" si="33"/>
        <v>0</v>
      </c>
      <c r="DM46" s="176">
        <f t="shared" si="33"/>
        <v>0</v>
      </c>
      <c r="DN46" s="176">
        <f t="shared" si="33"/>
        <v>0</v>
      </c>
      <c r="DO46" s="176">
        <f t="shared" si="33"/>
        <v>0</v>
      </c>
      <c r="DP46" s="176">
        <f t="shared" si="33"/>
        <v>0</v>
      </c>
      <c r="DQ46" s="176">
        <f t="shared" si="33"/>
        <v>0</v>
      </c>
      <c r="DR46" s="176">
        <f t="shared" si="33"/>
        <v>0</v>
      </c>
      <c r="DS46" s="176">
        <f t="shared" si="33"/>
        <v>0</v>
      </c>
      <c r="DT46" s="176">
        <f t="shared" si="33"/>
        <v>0</v>
      </c>
      <c r="DU46" s="176">
        <f t="shared" si="33"/>
        <v>0</v>
      </c>
      <c r="DV46" s="176">
        <f t="shared" si="33"/>
        <v>0</v>
      </c>
      <c r="DW46" s="176">
        <f t="shared" si="33"/>
        <v>0</v>
      </c>
      <c r="DX46" s="176">
        <f t="shared" si="33"/>
        <v>0</v>
      </c>
      <c r="DY46" s="176">
        <f t="shared" si="33"/>
        <v>0</v>
      </c>
      <c r="DZ46" s="176">
        <f t="shared" si="33"/>
        <v>0</v>
      </c>
      <c r="EA46" s="176">
        <f t="shared" si="33"/>
        <v>0</v>
      </c>
      <c r="EB46" s="176">
        <f t="shared" ref="EB46:FR46" si="34">SUM(EB43:EB45)</f>
        <v>0</v>
      </c>
      <c r="EC46" s="176">
        <f t="shared" si="34"/>
        <v>0</v>
      </c>
      <c r="ED46" s="176">
        <f t="shared" si="34"/>
        <v>0</v>
      </c>
      <c r="EE46" s="176">
        <f t="shared" si="34"/>
        <v>0</v>
      </c>
      <c r="EF46" s="176">
        <f t="shared" si="34"/>
        <v>0</v>
      </c>
      <c r="EG46" s="176">
        <f t="shared" si="34"/>
        <v>0</v>
      </c>
      <c r="EH46" s="176">
        <f t="shared" si="34"/>
        <v>0</v>
      </c>
      <c r="EI46" s="176">
        <f t="shared" si="34"/>
        <v>0</v>
      </c>
      <c r="EJ46" s="176">
        <f t="shared" si="34"/>
        <v>0</v>
      </c>
      <c r="EK46" s="176">
        <f t="shared" si="34"/>
        <v>0</v>
      </c>
      <c r="EL46" s="176">
        <f t="shared" si="34"/>
        <v>0</v>
      </c>
      <c r="EM46" s="176">
        <f t="shared" si="34"/>
        <v>0</v>
      </c>
      <c r="EN46" s="176">
        <f t="shared" si="34"/>
        <v>0</v>
      </c>
      <c r="EO46" s="176">
        <f t="shared" si="34"/>
        <v>0</v>
      </c>
      <c r="EP46" s="176">
        <f t="shared" si="34"/>
        <v>0</v>
      </c>
      <c r="EQ46" s="176">
        <f t="shared" si="34"/>
        <v>0</v>
      </c>
      <c r="ER46" s="176">
        <f t="shared" si="34"/>
        <v>0</v>
      </c>
      <c r="ES46" s="176">
        <f t="shared" si="34"/>
        <v>0</v>
      </c>
      <c r="ET46" s="176">
        <f t="shared" si="34"/>
        <v>0</v>
      </c>
      <c r="EU46" s="176">
        <f t="shared" si="34"/>
        <v>0</v>
      </c>
      <c r="EV46" s="176">
        <f t="shared" si="34"/>
        <v>0</v>
      </c>
      <c r="EW46" s="176">
        <f t="shared" si="34"/>
        <v>0</v>
      </c>
      <c r="EX46" s="176">
        <f t="shared" si="34"/>
        <v>0</v>
      </c>
      <c r="EY46" s="176">
        <f t="shared" si="34"/>
        <v>0</v>
      </c>
      <c r="EZ46" s="176">
        <f t="shared" si="34"/>
        <v>0</v>
      </c>
      <c r="FA46" s="176">
        <f t="shared" si="34"/>
        <v>0</v>
      </c>
      <c r="FB46" s="176">
        <f t="shared" si="34"/>
        <v>0</v>
      </c>
      <c r="FC46" s="176">
        <f t="shared" si="34"/>
        <v>0</v>
      </c>
      <c r="FD46" s="176">
        <f t="shared" si="34"/>
        <v>0</v>
      </c>
      <c r="FE46" s="176">
        <f t="shared" si="34"/>
        <v>0</v>
      </c>
      <c r="FF46" s="176">
        <f t="shared" si="34"/>
        <v>0</v>
      </c>
      <c r="FG46" s="176">
        <f t="shared" si="34"/>
        <v>0</v>
      </c>
      <c r="FH46" s="176">
        <f t="shared" si="34"/>
        <v>0</v>
      </c>
      <c r="FI46" s="176">
        <f t="shared" si="34"/>
        <v>0</v>
      </c>
      <c r="FJ46" s="176">
        <f t="shared" si="34"/>
        <v>0</v>
      </c>
      <c r="FK46" s="176">
        <f t="shared" si="34"/>
        <v>0</v>
      </c>
      <c r="FL46" s="176">
        <f t="shared" si="34"/>
        <v>0</v>
      </c>
      <c r="FM46" s="176">
        <f t="shared" si="34"/>
        <v>0</v>
      </c>
      <c r="FN46" s="176">
        <f t="shared" si="34"/>
        <v>0</v>
      </c>
      <c r="FO46" s="176">
        <f t="shared" si="34"/>
        <v>0</v>
      </c>
      <c r="FP46" s="176">
        <f t="shared" si="34"/>
        <v>0</v>
      </c>
      <c r="FQ46" s="176">
        <f t="shared" si="34"/>
        <v>0</v>
      </c>
      <c r="FR46" s="176">
        <f t="shared" si="34"/>
        <v>0</v>
      </c>
    </row>
    <row r="47" spans="1:174" ht="15" customHeight="1" thickBot="1" x14ac:dyDescent="0.35">
      <c r="A47" s="170"/>
      <c r="B47" s="171" t="s">
        <v>33</v>
      </c>
      <c r="C47" s="177">
        <f>C46/3</f>
        <v>9</v>
      </c>
      <c r="D47" s="177">
        <f t="shared" ref="D47:BO47" si="35">D46/3</f>
        <v>0</v>
      </c>
      <c r="E47" s="177">
        <f t="shared" si="35"/>
        <v>0</v>
      </c>
      <c r="F47" s="177">
        <f t="shared" si="35"/>
        <v>0</v>
      </c>
      <c r="G47" s="177">
        <f t="shared" si="35"/>
        <v>0</v>
      </c>
      <c r="H47" s="177">
        <f t="shared" si="35"/>
        <v>0</v>
      </c>
      <c r="I47" s="177">
        <f t="shared" si="35"/>
        <v>0</v>
      </c>
      <c r="J47" s="177">
        <f t="shared" si="35"/>
        <v>0</v>
      </c>
      <c r="K47" s="177">
        <f t="shared" si="35"/>
        <v>0</v>
      </c>
      <c r="L47" s="177">
        <f t="shared" si="35"/>
        <v>0</v>
      </c>
      <c r="M47" s="177">
        <f t="shared" si="35"/>
        <v>0</v>
      </c>
      <c r="N47" s="177">
        <f t="shared" si="35"/>
        <v>0</v>
      </c>
      <c r="O47" s="177">
        <f t="shared" si="35"/>
        <v>0</v>
      </c>
      <c r="P47" s="177">
        <f t="shared" si="35"/>
        <v>0</v>
      </c>
      <c r="Q47" s="177">
        <f t="shared" si="35"/>
        <v>0</v>
      </c>
      <c r="R47" s="177">
        <f t="shared" si="35"/>
        <v>0</v>
      </c>
      <c r="S47" s="177">
        <f t="shared" si="35"/>
        <v>0</v>
      </c>
      <c r="T47" s="177">
        <f t="shared" si="35"/>
        <v>0</v>
      </c>
      <c r="U47" s="177">
        <f t="shared" si="35"/>
        <v>0</v>
      </c>
      <c r="V47" s="177">
        <f t="shared" si="35"/>
        <v>0</v>
      </c>
      <c r="W47" s="177">
        <f t="shared" si="35"/>
        <v>0</v>
      </c>
      <c r="X47" s="177">
        <f t="shared" si="35"/>
        <v>0</v>
      </c>
      <c r="Y47" s="177">
        <f t="shared" si="35"/>
        <v>0</v>
      </c>
      <c r="Z47" s="177">
        <f t="shared" si="35"/>
        <v>0</v>
      </c>
      <c r="AA47" s="177">
        <f t="shared" si="35"/>
        <v>0</v>
      </c>
      <c r="AB47" s="177">
        <f t="shared" si="35"/>
        <v>0</v>
      </c>
      <c r="AC47" s="177">
        <f t="shared" si="35"/>
        <v>0</v>
      </c>
      <c r="AD47" s="177">
        <f t="shared" si="35"/>
        <v>0</v>
      </c>
      <c r="AE47" s="177">
        <f t="shared" si="35"/>
        <v>0</v>
      </c>
      <c r="AF47" s="177">
        <f t="shared" si="35"/>
        <v>0</v>
      </c>
      <c r="AG47" s="177">
        <f t="shared" si="35"/>
        <v>0</v>
      </c>
      <c r="AH47" s="177">
        <f t="shared" si="35"/>
        <v>0</v>
      </c>
      <c r="AI47" s="177">
        <f t="shared" si="35"/>
        <v>0</v>
      </c>
      <c r="AJ47" s="177">
        <f t="shared" si="35"/>
        <v>0</v>
      </c>
      <c r="AK47" s="177">
        <f t="shared" si="35"/>
        <v>0</v>
      </c>
      <c r="AL47" s="177">
        <f t="shared" si="35"/>
        <v>0</v>
      </c>
      <c r="AM47" s="177">
        <f t="shared" si="35"/>
        <v>0</v>
      </c>
      <c r="AN47" s="177">
        <f t="shared" si="35"/>
        <v>0</v>
      </c>
      <c r="AO47" s="177">
        <f t="shared" si="35"/>
        <v>0</v>
      </c>
      <c r="AP47" s="177">
        <f t="shared" si="35"/>
        <v>0</v>
      </c>
      <c r="AQ47" s="177">
        <f t="shared" si="35"/>
        <v>0</v>
      </c>
      <c r="AR47" s="177">
        <f t="shared" si="35"/>
        <v>0</v>
      </c>
      <c r="AS47" s="177">
        <f t="shared" si="35"/>
        <v>0</v>
      </c>
      <c r="AT47" s="177">
        <f t="shared" si="35"/>
        <v>0</v>
      </c>
      <c r="AU47" s="177">
        <f t="shared" si="35"/>
        <v>0</v>
      </c>
      <c r="AV47" s="177">
        <f t="shared" si="35"/>
        <v>0</v>
      </c>
      <c r="AW47" s="177">
        <f t="shared" si="35"/>
        <v>0</v>
      </c>
      <c r="AX47" s="177">
        <f t="shared" si="35"/>
        <v>0</v>
      </c>
      <c r="AY47" s="177">
        <f t="shared" si="35"/>
        <v>0</v>
      </c>
      <c r="AZ47" s="177">
        <f t="shared" si="35"/>
        <v>0</v>
      </c>
      <c r="BA47" s="177">
        <f t="shared" si="35"/>
        <v>0</v>
      </c>
      <c r="BB47" s="177">
        <f t="shared" si="35"/>
        <v>0</v>
      </c>
      <c r="BC47" s="177">
        <f t="shared" si="35"/>
        <v>0</v>
      </c>
      <c r="BD47" s="177">
        <f t="shared" si="35"/>
        <v>0</v>
      </c>
      <c r="BE47" s="177">
        <f t="shared" si="35"/>
        <v>0</v>
      </c>
      <c r="BF47" s="177">
        <f t="shared" si="35"/>
        <v>0</v>
      </c>
      <c r="BG47" s="177">
        <f t="shared" si="35"/>
        <v>0</v>
      </c>
      <c r="BH47" s="177">
        <f t="shared" si="35"/>
        <v>0</v>
      </c>
      <c r="BI47" s="177">
        <f t="shared" si="35"/>
        <v>0</v>
      </c>
      <c r="BJ47" s="177">
        <f t="shared" si="35"/>
        <v>0</v>
      </c>
      <c r="BK47" s="177">
        <f t="shared" si="35"/>
        <v>0</v>
      </c>
      <c r="BL47" s="177">
        <f t="shared" si="35"/>
        <v>0</v>
      </c>
      <c r="BM47" s="177">
        <f t="shared" si="35"/>
        <v>0</v>
      </c>
      <c r="BN47" s="177">
        <f t="shared" si="35"/>
        <v>0</v>
      </c>
      <c r="BO47" s="177">
        <f t="shared" si="35"/>
        <v>0</v>
      </c>
      <c r="BP47" s="177">
        <f t="shared" ref="BP47:EA47" si="36">BP46/3</f>
        <v>0</v>
      </c>
      <c r="BQ47" s="177">
        <f t="shared" si="36"/>
        <v>0</v>
      </c>
      <c r="BR47" s="177">
        <f t="shared" si="36"/>
        <v>0</v>
      </c>
      <c r="BS47" s="177">
        <f t="shared" si="36"/>
        <v>0</v>
      </c>
      <c r="BT47" s="177">
        <f t="shared" si="36"/>
        <v>0</v>
      </c>
      <c r="BU47" s="177">
        <f t="shared" si="36"/>
        <v>0</v>
      </c>
      <c r="BV47" s="177">
        <f t="shared" si="36"/>
        <v>0</v>
      </c>
      <c r="BW47" s="177">
        <f t="shared" si="36"/>
        <v>0</v>
      </c>
      <c r="BX47" s="177">
        <f t="shared" si="36"/>
        <v>0</v>
      </c>
      <c r="BY47" s="177">
        <f t="shared" si="36"/>
        <v>0</v>
      </c>
      <c r="BZ47" s="177">
        <f t="shared" si="36"/>
        <v>0</v>
      </c>
      <c r="CA47" s="177">
        <f t="shared" si="36"/>
        <v>0</v>
      </c>
      <c r="CB47" s="177">
        <f t="shared" si="36"/>
        <v>0</v>
      </c>
      <c r="CC47" s="177">
        <f t="shared" si="36"/>
        <v>0</v>
      </c>
      <c r="CD47" s="177">
        <f t="shared" si="36"/>
        <v>0</v>
      </c>
      <c r="CE47" s="177">
        <f t="shared" si="36"/>
        <v>0</v>
      </c>
      <c r="CF47" s="177">
        <f t="shared" si="36"/>
        <v>0</v>
      </c>
      <c r="CG47" s="177">
        <f t="shared" si="36"/>
        <v>0</v>
      </c>
      <c r="CH47" s="177">
        <f t="shared" si="36"/>
        <v>0</v>
      </c>
      <c r="CI47" s="177">
        <f t="shared" si="36"/>
        <v>0</v>
      </c>
      <c r="CJ47" s="177">
        <f t="shared" si="36"/>
        <v>0</v>
      </c>
      <c r="CK47" s="177">
        <f t="shared" si="36"/>
        <v>0</v>
      </c>
      <c r="CL47" s="177">
        <f t="shared" si="36"/>
        <v>0</v>
      </c>
      <c r="CM47" s="177">
        <f t="shared" si="36"/>
        <v>0</v>
      </c>
      <c r="CN47" s="177">
        <f t="shared" si="36"/>
        <v>0</v>
      </c>
      <c r="CO47" s="177">
        <f t="shared" si="36"/>
        <v>0</v>
      </c>
      <c r="CP47" s="177">
        <f t="shared" si="36"/>
        <v>0</v>
      </c>
      <c r="CQ47" s="177">
        <f t="shared" si="36"/>
        <v>0</v>
      </c>
      <c r="CR47" s="177">
        <f t="shared" si="36"/>
        <v>0</v>
      </c>
      <c r="CS47" s="177">
        <f t="shared" si="36"/>
        <v>0</v>
      </c>
      <c r="CT47" s="177">
        <f t="shared" si="36"/>
        <v>0</v>
      </c>
      <c r="CU47" s="177">
        <f t="shared" si="36"/>
        <v>0</v>
      </c>
      <c r="CV47" s="177">
        <f t="shared" si="36"/>
        <v>0</v>
      </c>
      <c r="CW47" s="177">
        <f t="shared" si="36"/>
        <v>0</v>
      </c>
      <c r="CX47" s="177">
        <f t="shared" si="36"/>
        <v>0</v>
      </c>
      <c r="CY47" s="177">
        <f t="shared" si="36"/>
        <v>0</v>
      </c>
      <c r="CZ47" s="177">
        <f t="shared" si="36"/>
        <v>0</v>
      </c>
      <c r="DA47" s="177">
        <f t="shared" si="36"/>
        <v>0</v>
      </c>
      <c r="DB47" s="177">
        <f t="shared" si="36"/>
        <v>0</v>
      </c>
      <c r="DC47" s="177">
        <f t="shared" si="36"/>
        <v>0</v>
      </c>
      <c r="DD47" s="177">
        <f t="shared" si="36"/>
        <v>0</v>
      </c>
      <c r="DE47" s="177">
        <f t="shared" si="36"/>
        <v>0</v>
      </c>
      <c r="DF47" s="177">
        <f t="shared" si="36"/>
        <v>0</v>
      </c>
      <c r="DG47" s="177">
        <f t="shared" si="36"/>
        <v>0</v>
      </c>
      <c r="DH47" s="177">
        <f t="shared" si="36"/>
        <v>0</v>
      </c>
      <c r="DI47" s="177">
        <f t="shared" si="36"/>
        <v>0</v>
      </c>
      <c r="DJ47" s="177">
        <f t="shared" si="36"/>
        <v>0</v>
      </c>
      <c r="DK47" s="177">
        <f t="shared" si="36"/>
        <v>0</v>
      </c>
      <c r="DL47" s="177">
        <f t="shared" si="36"/>
        <v>0</v>
      </c>
      <c r="DM47" s="177">
        <f t="shared" si="36"/>
        <v>0</v>
      </c>
      <c r="DN47" s="177">
        <f t="shared" si="36"/>
        <v>0</v>
      </c>
      <c r="DO47" s="177">
        <f t="shared" si="36"/>
        <v>0</v>
      </c>
      <c r="DP47" s="177">
        <f t="shared" si="36"/>
        <v>0</v>
      </c>
      <c r="DQ47" s="177">
        <f t="shared" si="36"/>
        <v>0</v>
      </c>
      <c r="DR47" s="177">
        <f t="shared" si="36"/>
        <v>0</v>
      </c>
      <c r="DS47" s="177">
        <f t="shared" si="36"/>
        <v>0</v>
      </c>
      <c r="DT47" s="177">
        <f t="shared" si="36"/>
        <v>0</v>
      </c>
      <c r="DU47" s="177">
        <f t="shared" si="36"/>
        <v>0</v>
      </c>
      <c r="DV47" s="177">
        <f t="shared" si="36"/>
        <v>0</v>
      </c>
      <c r="DW47" s="177">
        <f t="shared" si="36"/>
        <v>0</v>
      </c>
      <c r="DX47" s="177">
        <f t="shared" si="36"/>
        <v>0</v>
      </c>
      <c r="DY47" s="177">
        <f t="shared" si="36"/>
        <v>0</v>
      </c>
      <c r="DZ47" s="177">
        <f t="shared" si="36"/>
        <v>0</v>
      </c>
      <c r="EA47" s="177">
        <f t="shared" si="36"/>
        <v>0</v>
      </c>
      <c r="EB47" s="177">
        <f t="shared" ref="EB47:FR47" si="37">EB46/3</f>
        <v>0</v>
      </c>
      <c r="EC47" s="177">
        <f t="shared" si="37"/>
        <v>0</v>
      </c>
      <c r="ED47" s="177">
        <f t="shared" si="37"/>
        <v>0</v>
      </c>
      <c r="EE47" s="177">
        <f t="shared" si="37"/>
        <v>0</v>
      </c>
      <c r="EF47" s="177">
        <f t="shared" si="37"/>
        <v>0</v>
      </c>
      <c r="EG47" s="177">
        <f t="shared" si="37"/>
        <v>0</v>
      </c>
      <c r="EH47" s="177">
        <f t="shared" si="37"/>
        <v>0</v>
      </c>
      <c r="EI47" s="177">
        <f t="shared" si="37"/>
        <v>0</v>
      </c>
      <c r="EJ47" s="177">
        <f t="shared" si="37"/>
        <v>0</v>
      </c>
      <c r="EK47" s="177">
        <f t="shared" si="37"/>
        <v>0</v>
      </c>
      <c r="EL47" s="177">
        <f t="shared" si="37"/>
        <v>0</v>
      </c>
      <c r="EM47" s="177">
        <f t="shared" si="37"/>
        <v>0</v>
      </c>
      <c r="EN47" s="177">
        <f t="shared" si="37"/>
        <v>0</v>
      </c>
      <c r="EO47" s="177">
        <f t="shared" si="37"/>
        <v>0</v>
      </c>
      <c r="EP47" s="177">
        <f t="shared" si="37"/>
        <v>0</v>
      </c>
      <c r="EQ47" s="177">
        <f t="shared" si="37"/>
        <v>0</v>
      </c>
      <c r="ER47" s="177">
        <f t="shared" si="37"/>
        <v>0</v>
      </c>
      <c r="ES47" s="177">
        <f t="shared" si="37"/>
        <v>0</v>
      </c>
      <c r="ET47" s="177">
        <f t="shared" si="37"/>
        <v>0</v>
      </c>
      <c r="EU47" s="177">
        <f t="shared" si="37"/>
        <v>0</v>
      </c>
      <c r="EV47" s="177">
        <f t="shared" si="37"/>
        <v>0</v>
      </c>
      <c r="EW47" s="177">
        <f t="shared" si="37"/>
        <v>0</v>
      </c>
      <c r="EX47" s="177">
        <f t="shared" si="37"/>
        <v>0</v>
      </c>
      <c r="EY47" s="177">
        <f t="shared" si="37"/>
        <v>0</v>
      </c>
      <c r="EZ47" s="177">
        <f t="shared" si="37"/>
        <v>0</v>
      </c>
      <c r="FA47" s="177">
        <f t="shared" si="37"/>
        <v>0</v>
      </c>
      <c r="FB47" s="177">
        <f t="shared" si="37"/>
        <v>0</v>
      </c>
      <c r="FC47" s="177">
        <f t="shared" si="37"/>
        <v>0</v>
      </c>
      <c r="FD47" s="177">
        <f t="shared" si="37"/>
        <v>0</v>
      </c>
      <c r="FE47" s="177">
        <f t="shared" si="37"/>
        <v>0</v>
      </c>
      <c r="FF47" s="177">
        <f t="shared" si="37"/>
        <v>0</v>
      </c>
      <c r="FG47" s="177">
        <f t="shared" si="37"/>
        <v>0</v>
      </c>
      <c r="FH47" s="177">
        <f t="shared" si="37"/>
        <v>0</v>
      </c>
      <c r="FI47" s="177">
        <f t="shared" si="37"/>
        <v>0</v>
      </c>
      <c r="FJ47" s="177">
        <f t="shared" si="37"/>
        <v>0</v>
      </c>
      <c r="FK47" s="177">
        <f t="shared" si="37"/>
        <v>0</v>
      </c>
      <c r="FL47" s="177">
        <f t="shared" si="37"/>
        <v>0</v>
      </c>
      <c r="FM47" s="177">
        <f t="shared" si="37"/>
        <v>0</v>
      </c>
      <c r="FN47" s="177">
        <f t="shared" si="37"/>
        <v>0</v>
      </c>
      <c r="FO47" s="177">
        <f t="shared" si="37"/>
        <v>0</v>
      </c>
      <c r="FP47" s="177">
        <f t="shared" si="37"/>
        <v>0</v>
      </c>
      <c r="FQ47" s="177">
        <f t="shared" si="37"/>
        <v>0</v>
      </c>
      <c r="FR47" s="177">
        <f t="shared" si="37"/>
        <v>0</v>
      </c>
    </row>
    <row r="48" spans="1:174" ht="15" customHeight="1" x14ac:dyDescent="0.3">
      <c r="A48" s="126"/>
      <c r="B48" s="172"/>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c r="BK48" s="178"/>
      <c r="BL48" s="178"/>
      <c r="BM48" s="178"/>
      <c r="BN48" s="178"/>
      <c r="BO48" s="178"/>
      <c r="BP48" s="178"/>
      <c r="BQ48" s="178"/>
      <c r="BR48" s="178"/>
      <c r="BS48" s="178"/>
      <c r="BT48" s="178"/>
      <c r="BU48" s="178"/>
      <c r="BV48" s="178"/>
      <c r="BW48" s="178"/>
      <c r="BX48" s="178"/>
      <c r="BY48" s="178"/>
      <c r="BZ48" s="178"/>
      <c r="CA48" s="178"/>
      <c r="CB48" s="178"/>
      <c r="CC48" s="178"/>
      <c r="CD48" s="178"/>
      <c r="CE48" s="178"/>
      <c r="CF48" s="178"/>
      <c r="CG48" s="178"/>
      <c r="CH48" s="178"/>
      <c r="CI48" s="178"/>
      <c r="CJ48" s="178"/>
      <c r="CK48" s="178"/>
      <c r="CL48" s="178"/>
      <c r="CM48" s="178"/>
      <c r="CN48" s="178"/>
      <c r="CO48" s="178"/>
      <c r="CP48" s="178"/>
      <c r="CQ48" s="178"/>
      <c r="CR48" s="178"/>
      <c r="CS48" s="178"/>
      <c r="CT48" s="178"/>
      <c r="CU48" s="178"/>
      <c r="CV48" s="178"/>
      <c r="CW48" s="178"/>
      <c r="CX48" s="178"/>
      <c r="CY48" s="178"/>
      <c r="CZ48" s="178"/>
      <c r="DA48" s="178"/>
      <c r="DB48" s="178"/>
      <c r="DC48" s="178"/>
      <c r="DD48" s="178"/>
      <c r="DE48" s="178"/>
      <c r="DF48" s="178"/>
      <c r="DG48" s="178"/>
      <c r="DH48" s="178"/>
      <c r="DI48" s="178"/>
      <c r="DJ48" s="178"/>
      <c r="DK48" s="178"/>
      <c r="DL48" s="178"/>
      <c r="DM48" s="178"/>
      <c r="DN48" s="178"/>
      <c r="DO48" s="178"/>
      <c r="DP48" s="178"/>
      <c r="DQ48" s="178"/>
      <c r="DR48" s="178"/>
      <c r="DS48" s="178"/>
      <c r="DT48" s="178"/>
      <c r="DU48" s="178"/>
      <c r="DV48" s="178"/>
      <c r="DW48" s="178"/>
      <c r="DX48" s="178"/>
      <c r="DY48" s="178"/>
      <c r="DZ48" s="178"/>
      <c r="EA48" s="178"/>
      <c r="EB48" s="178"/>
      <c r="EC48" s="178"/>
      <c r="ED48" s="178"/>
      <c r="EE48" s="178"/>
      <c r="EF48" s="178"/>
      <c r="EG48" s="178"/>
      <c r="EH48" s="178"/>
      <c r="EI48" s="178"/>
      <c r="EJ48" s="178"/>
      <c r="EK48" s="178"/>
      <c r="EL48" s="178"/>
      <c r="EM48" s="178"/>
      <c r="EN48" s="178"/>
      <c r="EO48" s="178"/>
      <c r="EP48" s="178"/>
      <c r="EQ48" s="178"/>
      <c r="ER48" s="178"/>
      <c r="ES48" s="178"/>
      <c r="ET48" s="178"/>
      <c r="EU48" s="178"/>
      <c r="EV48" s="178"/>
      <c r="EW48" s="178"/>
      <c r="EX48" s="178"/>
      <c r="EY48" s="178"/>
      <c r="EZ48" s="178"/>
      <c r="FA48" s="178"/>
      <c r="FB48" s="178"/>
      <c r="FC48" s="178"/>
      <c r="FD48" s="178"/>
      <c r="FE48" s="178"/>
      <c r="FF48" s="178"/>
      <c r="FG48" s="178"/>
      <c r="FH48" s="178"/>
      <c r="FI48" s="178"/>
      <c r="FJ48" s="178"/>
      <c r="FK48" s="178"/>
      <c r="FL48" s="178"/>
      <c r="FM48" s="178"/>
      <c r="FN48" s="178"/>
      <c r="FO48" s="178"/>
      <c r="FP48" s="178"/>
      <c r="FQ48" s="178"/>
      <c r="FR48" s="178"/>
    </row>
    <row r="49" spans="1:174" ht="14.4" thickBot="1" x14ac:dyDescent="0.35">
      <c r="A49" s="123">
        <v>1.5</v>
      </c>
      <c r="B49" s="124" t="s">
        <v>13</v>
      </c>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c r="AA49" s="127"/>
      <c r="AB49" s="127"/>
      <c r="AC49" s="127"/>
      <c r="AD49" s="127"/>
      <c r="AE49" s="127"/>
      <c r="AF49" s="127"/>
      <c r="AG49" s="127"/>
      <c r="AH49" s="127"/>
      <c r="AI49" s="127"/>
      <c r="AJ49" s="127"/>
      <c r="AK49" s="127"/>
      <c r="AL49" s="127"/>
      <c r="AM49" s="127"/>
      <c r="AN49" s="127"/>
      <c r="AO49" s="127"/>
      <c r="AP49" s="127"/>
      <c r="AQ49" s="127"/>
      <c r="AR49" s="127"/>
      <c r="AS49" s="127"/>
      <c r="AT49" s="127"/>
      <c r="AU49" s="127"/>
      <c r="AV49" s="127"/>
      <c r="AW49" s="127"/>
      <c r="AX49" s="127"/>
      <c r="AY49" s="127"/>
      <c r="AZ49" s="127"/>
      <c r="BA49" s="127"/>
      <c r="BB49" s="127"/>
      <c r="BC49" s="127"/>
      <c r="BD49" s="127"/>
      <c r="BE49" s="127"/>
      <c r="BF49" s="127"/>
      <c r="BG49" s="127"/>
      <c r="BH49" s="127"/>
      <c r="BI49" s="127"/>
      <c r="BJ49" s="127"/>
      <c r="BK49" s="127"/>
      <c r="BL49" s="127"/>
      <c r="BM49" s="127"/>
      <c r="BN49" s="127"/>
      <c r="BO49" s="127"/>
      <c r="BP49" s="127"/>
      <c r="BQ49" s="127"/>
      <c r="BR49" s="127"/>
      <c r="BS49" s="127"/>
      <c r="BT49" s="127"/>
      <c r="BU49" s="127"/>
      <c r="BV49" s="127"/>
      <c r="BW49" s="127"/>
      <c r="BX49" s="127"/>
      <c r="BY49" s="127"/>
      <c r="BZ49" s="127"/>
      <c r="CA49" s="127"/>
      <c r="CB49" s="127"/>
      <c r="CC49" s="127"/>
      <c r="CD49" s="127"/>
      <c r="CE49" s="127"/>
      <c r="CF49" s="127"/>
      <c r="CG49" s="127"/>
      <c r="CH49" s="127"/>
      <c r="CI49" s="127"/>
      <c r="CJ49" s="127"/>
      <c r="CK49" s="127"/>
      <c r="CL49" s="127"/>
      <c r="CM49" s="127"/>
      <c r="CN49" s="127"/>
      <c r="CO49" s="127"/>
      <c r="CP49" s="127"/>
      <c r="CQ49" s="127"/>
      <c r="CR49" s="127"/>
      <c r="CS49" s="127"/>
      <c r="CT49" s="127"/>
      <c r="CU49" s="127"/>
      <c r="CV49" s="127"/>
      <c r="CW49" s="127"/>
      <c r="CX49" s="127"/>
      <c r="CY49" s="127"/>
      <c r="CZ49" s="127"/>
      <c r="DA49" s="127"/>
      <c r="DB49" s="127"/>
      <c r="DC49" s="127"/>
      <c r="DD49" s="127"/>
      <c r="DE49" s="127"/>
      <c r="DF49" s="127"/>
      <c r="DG49" s="127"/>
      <c r="DH49" s="127"/>
      <c r="DI49" s="127"/>
      <c r="DJ49" s="127"/>
      <c r="DK49" s="127"/>
      <c r="DL49" s="127"/>
      <c r="DM49" s="127"/>
      <c r="DN49" s="127"/>
      <c r="DO49" s="127"/>
      <c r="DP49" s="127"/>
      <c r="DQ49" s="127"/>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c r="EN49" s="127"/>
      <c r="EO49" s="127"/>
      <c r="EP49" s="127"/>
      <c r="EQ49" s="127"/>
      <c r="ER49" s="127"/>
      <c r="ES49" s="127"/>
      <c r="ET49" s="127"/>
      <c r="EU49" s="127"/>
      <c r="EV49" s="127"/>
      <c r="EW49" s="127"/>
      <c r="EX49" s="127"/>
      <c r="EY49" s="127"/>
      <c r="EZ49" s="127"/>
      <c r="FA49" s="127"/>
      <c r="FB49" s="127"/>
      <c r="FC49" s="127"/>
      <c r="FD49" s="127"/>
      <c r="FE49" s="127"/>
      <c r="FF49" s="127"/>
      <c r="FG49" s="127"/>
      <c r="FH49" s="127"/>
      <c r="FI49" s="127"/>
      <c r="FJ49" s="127"/>
      <c r="FK49" s="127"/>
      <c r="FL49" s="127"/>
      <c r="FM49" s="127"/>
      <c r="FN49" s="127"/>
      <c r="FO49" s="127"/>
      <c r="FP49" s="127"/>
      <c r="FQ49" s="127"/>
      <c r="FR49" s="127"/>
    </row>
    <row r="50" spans="1:174" ht="25.05" customHeight="1" x14ac:dyDescent="0.3">
      <c r="A50" s="164" t="s">
        <v>22</v>
      </c>
      <c r="B50" s="165" t="s">
        <v>41</v>
      </c>
      <c r="C50" s="175">
        <v>9</v>
      </c>
      <c r="D50" s="175"/>
      <c r="E50" s="175"/>
      <c r="F50" s="175"/>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175"/>
      <c r="BN50" s="175"/>
      <c r="BO50" s="175"/>
      <c r="BP50" s="175"/>
      <c r="BQ50" s="175"/>
      <c r="BR50" s="175"/>
      <c r="BS50" s="175"/>
      <c r="BT50" s="175"/>
      <c r="BU50" s="175"/>
      <c r="BV50" s="175"/>
      <c r="BW50" s="175"/>
      <c r="BX50" s="175"/>
      <c r="BY50" s="175"/>
      <c r="BZ50" s="175"/>
      <c r="CA50" s="175"/>
      <c r="CB50" s="175"/>
      <c r="CC50" s="175"/>
      <c r="CD50" s="175"/>
      <c r="CE50" s="175"/>
      <c r="CF50" s="175"/>
      <c r="CG50" s="175"/>
      <c r="CH50" s="175"/>
      <c r="CI50" s="175"/>
      <c r="CJ50" s="175"/>
      <c r="CK50" s="175"/>
      <c r="CL50" s="175"/>
      <c r="CM50" s="175"/>
      <c r="CN50" s="175"/>
      <c r="CO50" s="175"/>
      <c r="CP50" s="175"/>
      <c r="CQ50" s="175"/>
      <c r="CR50" s="175"/>
      <c r="CS50" s="175"/>
      <c r="CT50" s="175"/>
      <c r="CU50" s="175"/>
      <c r="CV50" s="175"/>
      <c r="CW50" s="175"/>
      <c r="CX50" s="175"/>
      <c r="CY50" s="175"/>
      <c r="CZ50" s="175"/>
      <c r="DA50" s="175"/>
      <c r="DB50" s="175"/>
      <c r="DC50" s="175"/>
      <c r="DD50" s="175"/>
      <c r="DE50" s="175"/>
      <c r="DF50" s="175"/>
      <c r="DG50" s="175"/>
      <c r="DH50" s="175"/>
      <c r="DI50" s="175"/>
      <c r="DJ50" s="175"/>
      <c r="DK50" s="175"/>
      <c r="DL50" s="175"/>
      <c r="DM50" s="175"/>
      <c r="DN50" s="175"/>
      <c r="DO50" s="175"/>
      <c r="DP50" s="175"/>
      <c r="DQ50" s="175"/>
      <c r="DR50" s="175"/>
      <c r="DS50" s="175"/>
      <c r="DT50" s="175"/>
      <c r="DU50" s="175"/>
      <c r="DV50" s="175"/>
      <c r="DW50" s="175"/>
      <c r="DX50" s="175"/>
      <c r="DY50" s="175"/>
      <c r="DZ50" s="175"/>
      <c r="EA50" s="175"/>
      <c r="EB50" s="175"/>
      <c r="EC50" s="175"/>
      <c r="ED50" s="175"/>
      <c r="EE50" s="175"/>
      <c r="EF50" s="175"/>
      <c r="EG50" s="175"/>
      <c r="EH50" s="175"/>
      <c r="EI50" s="175"/>
      <c r="EJ50" s="175"/>
      <c r="EK50" s="175"/>
      <c r="EL50" s="175"/>
      <c r="EM50" s="175"/>
      <c r="EN50" s="175"/>
      <c r="EO50" s="175"/>
      <c r="EP50" s="175"/>
      <c r="EQ50" s="175"/>
      <c r="ER50" s="175"/>
      <c r="ES50" s="175"/>
      <c r="ET50" s="175"/>
      <c r="EU50" s="175"/>
      <c r="EV50" s="175"/>
      <c r="EW50" s="175"/>
      <c r="EX50" s="175"/>
      <c r="EY50" s="175"/>
      <c r="EZ50" s="175"/>
      <c r="FA50" s="175"/>
      <c r="FB50" s="175"/>
      <c r="FC50" s="175"/>
      <c r="FD50" s="175"/>
      <c r="FE50" s="175"/>
      <c r="FF50" s="175"/>
      <c r="FG50" s="175"/>
      <c r="FH50" s="175"/>
      <c r="FI50" s="175"/>
      <c r="FJ50" s="175"/>
      <c r="FK50" s="175"/>
      <c r="FL50" s="175"/>
      <c r="FM50" s="175"/>
      <c r="FN50" s="175"/>
      <c r="FO50" s="175"/>
      <c r="FP50" s="175"/>
      <c r="FQ50" s="175"/>
      <c r="FR50" s="175"/>
    </row>
    <row r="51" spans="1:174" ht="25.05" customHeight="1" x14ac:dyDescent="0.3">
      <c r="A51" s="166" t="s">
        <v>24</v>
      </c>
      <c r="B51" s="167" t="s">
        <v>42</v>
      </c>
      <c r="C51" s="175">
        <v>9</v>
      </c>
      <c r="D51" s="175"/>
      <c r="E51" s="175"/>
      <c r="F51" s="175"/>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5"/>
      <c r="BW51" s="175"/>
      <c r="BX51" s="175"/>
      <c r="BY51" s="175"/>
      <c r="BZ51" s="175"/>
      <c r="CA51" s="175"/>
      <c r="CB51" s="175"/>
      <c r="CC51" s="175"/>
      <c r="CD51" s="175"/>
      <c r="CE51" s="175"/>
      <c r="CF51" s="175"/>
      <c r="CG51" s="175"/>
      <c r="CH51" s="175"/>
      <c r="CI51" s="175"/>
      <c r="CJ51" s="175"/>
      <c r="CK51" s="175"/>
      <c r="CL51" s="175"/>
      <c r="CM51" s="175"/>
      <c r="CN51" s="175"/>
      <c r="CO51" s="175"/>
      <c r="CP51" s="175"/>
      <c r="CQ51" s="175"/>
      <c r="CR51" s="175"/>
      <c r="CS51" s="175"/>
      <c r="CT51" s="175"/>
      <c r="CU51" s="175"/>
      <c r="CV51" s="175"/>
      <c r="CW51" s="175"/>
      <c r="CX51" s="175"/>
      <c r="CY51" s="175"/>
      <c r="CZ51" s="175"/>
      <c r="DA51" s="175"/>
      <c r="DB51" s="175"/>
      <c r="DC51" s="175"/>
      <c r="DD51" s="175"/>
      <c r="DE51" s="175"/>
      <c r="DF51" s="175"/>
      <c r="DG51" s="175"/>
      <c r="DH51" s="175"/>
      <c r="DI51" s="175"/>
      <c r="DJ51" s="175"/>
      <c r="DK51" s="175"/>
      <c r="DL51" s="175"/>
      <c r="DM51" s="175"/>
      <c r="DN51" s="175"/>
      <c r="DO51" s="175"/>
      <c r="DP51" s="175"/>
      <c r="DQ51" s="175"/>
      <c r="DR51" s="175"/>
      <c r="DS51" s="175"/>
      <c r="DT51" s="175"/>
      <c r="DU51" s="175"/>
      <c r="DV51" s="175"/>
      <c r="DW51" s="175"/>
      <c r="DX51" s="175"/>
      <c r="DY51" s="175"/>
      <c r="DZ51" s="175"/>
      <c r="EA51" s="175"/>
      <c r="EB51" s="175"/>
      <c r="EC51" s="175"/>
      <c r="ED51" s="175"/>
      <c r="EE51" s="175"/>
      <c r="EF51" s="175"/>
      <c r="EG51" s="175"/>
      <c r="EH51" s="175"/>
      <c r="EI51" s="175"/>
      <c r="EJ51" s="175"/>
      <c r="EK51" s="175"/>
      <c r="EL51" s="175"/>
      <c r="EM51" s="175"/>
      <c r="EN51" s="175"/>
      <c r="EO51" s="175"/>
      <c r="EP51" s="175"/>
      <c r="EQ51" s="175"/>
      <c r="ER51" s="175"/>
      <c r="ES51" s="175"/>
      <c r="ET51" s="175"/>
      <c r="EU51" s="175"/>
      <c r="EV51" s="175"/>
      <c r="EW51" s="175"/>
      <c r="EX51" s="175"/>
      <c r="EY51" s="175"/>
      <c r="EZ51" s="175"/>
      <c r="FA51" s="175"/>
      <c r="FB51" s="175"/>
      <c r="FC51" s="175"/>
      <c r="FD51" s="175"/>
      <c r="FE51" s="175"/>
      <c r="FF51" s="175"/>
      <c r="FG51" s="175"/>
      <c r="FH51" s="175"/>
      <c r="FI51" s="175"/>
      <c r="FJ51" s="175"/>
      <c r="FK51" s="175"/>
      <c r="FL51" s="175"/>
      <c r="FM51" s="175"/>
      <c r="FN51" s="175"/>
      <c r="FO51" s="175"/>
      <c r="FP51" s="175"/>
      <c r="FQ51" s="175"/>
      <c r="FR51" s="175"/>
    </row>
    <row r="52" spans="1:174" ht="25.05" customHeight="1" x14ac:dyDescent="0.3">
      <c r="A52" s="166" t="s">
        <v>26</v>
      </c>
      <c r="B52" s="167" t="s">
        <v>43</v>
      </c>
      <c r="C52" s="175">
        <v>9</v>
      </c>
      <c r="D52" s="175"/>
      <c r="E52" s="175"/>
      <c r="F52" s="175"/>
      <c r="G52" s="175"/>
      <c r="H52" s="175"/>
      <c r="I52" s="175"/>
      <c r="J52" s="175"/>
      <c r="K52" s="175"/>
      <c r="L52" s="175"/>
      <c r="M52" s="175"/>
      <c r="N52" s="175"/>
      <c r="O52" s="175"/>
      <c r="P52" s="175"/>
      <c r="Q52" s="175"/>
      <c r="R52" s="175"/>
      <c r="S52" s="175"/>
      <c r="T52" s="175"/>
      <c r="U52" s="175"/>
      <c r="V52" s="175"/>
      <c r="W52" s="175"/>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c r="AT52" s="175"/>
      <c r="AU52" s="175"/>
      <c r="AV52" s="175"/>
      <c r="AW52" s="175"/>
      <c r="AX52" s="175"/>
      <c r="AY52" s="175"/>
      <c r="AZ52" s="175"/>
      <c r="BA52" s="175"/>
      <c r="BB52" s="175"/>
      <c r="BC52" s="175"/>
      <c r="BD52" s="175"/>
      <c r="BE52" s="175"/>
      <c r="BF52" s="175"/>
      <c r="BG52" s="175"/>
      <c r="BH52" s="175"/>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c r="CH52" s="175"/>
      <c r="CI52" s="175"/>
      <c r="CJ52" s="175"/>
      <c r="CK52" s="175"/>
      <c r="CL52" s="175"/>
      <c r="CM52" s="175"/>
      <c r="CN52" s="175"/>
      <c r="CO52" s="175"/>
      <c r="CP52" s="175"/>
      <c r="CQ52" s="175"/>
      <c r="CR52" s="175"/>
      <c r="CS52" s="175"/>
      <c r="CT52" s="175"/>
      <c r="CU52" s="175"/>
      <c r="CV52" s="175"/>
      <c r="CW52" s="175"/>
      <c r="CX52" s="175"/>
      <c r="CY52" s="175"/>
      <c r="CZ52" s="175"/>
      <c r="DA52" s="175"/>
      <c r="DB52" s="175"/>
      <c r="DC52" s="175"/>
      <c r="DD52" s="175"/>
      <c r="DE52" s="175"/>
      <c r="DF52" s="175"/>
      <c r="DG52" s="175"/>
      <c r="DH52" s="175"/>
      <c r="DI52" s="175"/>
      <c r="DJ52" s="175"/>
      <c r="DK52" s="175"/>
      <c r="DL52" s="175"/>
      <c r="DM52" s="175"/>
      <c r="DN52" s="175"/>
      <c r="DO52" s="175"/>
      <c r="DP52" s="175"/>
      <c r="DQ52" s="175"/>
      <c r="DR52" s="175"/>
      <c r="DS52" s="175"/>
      <c r="DT52" s="175"/>
      <c r="DU52" s="175"/>
      <c r="DV52" s="175"/>
      <c r="DW52" s="175"/>
      <c r="DX52" s="175"/>
      <c r="DY52" s="175"/>
      <c r="DZ52" s="175"/>
      <c r="EA52" s="175"/>
      <c r="EB52" s="175"/>
      <c r="EC52" s="175"/>
      <c r="ED52" s="175"/>
      <c r="EE52" s="175"/>
      <c r="EF52" s="175"/>
      <c r="EG52" s="175"/>
      <c r="EH52" s="175"/>
      <c r="EI52" s="175"/>
      <c r="EJ52" s="175"/>
      <c r="EK52" s="175"/>
      <c r="EL52" s="175"/>
      <c r="EM52" s="175"/>
      <c r="EN52" s="175"/>
      <c r="EO52" s="175"/>
      <c r="EP52" s="175"/>
      <c r="EQ52" s="175"/>
      <c r="ER52" s="175"/>
      <c r="ES52" s="175"/>
      <c r="ET52" s="175"/>
      <c r="EU52" s="175"/>
      <c r="EV52" s="175"/>
      <c r="EW52" s="175"/>
      <c r="EX52" s="175"/>
      <c r="EY52" s="175"/>
      <c r="EZ52" s="175"/>
      <c r="FA52" s="175"/>
      <c r="FB52" s="175"/>
      <c r="FC52" s="175"/>
      <c r="FD52" s="175"/>
      <c r="FE52" s="175"/>
      <c r="FF52" s="175"/>
      <c r="FG52" s="175"/>
      <c r="FH52" s="175"/>
      <c r="FI52" s="175"/>
      <c r="FJ52" s="175"/>
      <c r="FK52" s="175"/>
      <c r="FL52" s="175"/>
      <c r="FM52" s="175"/>
      <c r="FN52" s="175"/>
      <c r="FO52" s="175"/>
      <c r="FP52" s="175"/>
      <c r="FQ52" s="175"/>
      <c r="FR52" s="175"/>
    </row>
    <row r="53" spans="1:174" ht="15" customHeight="1" x14ac:dyDescent="0.3">
      <c r="A53" s="168"/>
      <c r="B53" s="174" t="s">
        <v>32</v>
      </c>
      <c r="C53" s="176">
        <f>SUM(C50:C52)</f>
        <v>27</v>
      </c>
      <c r="D53" s="176">
        <f t="shared" ref="D53:BO53" si="38">SUM(D50:D52)</f>
        <v>0</v>
      </c>
      <c r="E53" s="176">
        <f t="shared" si="38"/>
        <v>0</v>
      </c>
      <c r="F53" s="176">
        <f t="shared" si="38"/>
        <v>0</v>
      </c>
      <c r="G53" s="176">
        <f t="shared" si="38"/>
        <v>0</v>
      </c>
      <c r="H53" s="176">
        <f t="shared" si="38"/>
        <v>0</v>
      </c>
      <c r="I53" s="176">
        <f t="shared" si="38"/>
        <v>0</v>
      </c>
      <c r="J53" s="176">
        <f t="shared" si="38"/>
        <v>0</v>
      </c>
      <c r="K53" s="176">
        <f t="shared" si="38"/>
        <v>0</v>
      </c>
      <c r="L53" s="176">
        <f t="shared" si="38"/>
        <v>0</v>
      </c>
      <c r="M53" s="176">
        <f t="shared" si="38"/>
        <v>0</v>
      </c>
      <c r="N53" s="176">
        <f t="shared" si="38"/>
        <v>0</v>
      </c>
      <c r="O53" s="176">
        <f t="shared" si="38"/>
        <v>0</v>
      </c>
      <c r="P53" s="176">
        <f t="shared" si="38"/>
        <v>0</v>
      </c>
      <c r="Q53" s="176">
        <f t="shared" si="38"/>
        <v>0</v>
      </c>
      <c r="R53" s="176">
        <f t="shared" si="38"/>
        <v>0</v>
      </c>
      <c r="S53" s="176">
        <f t="shared" si="38"/>
        <v>0</v>
      </c>
      <c r="T53" s="176">
        <f t="shared" si="38"/>
        <v>0</v>
      </c>
      <c r="U53" s="176">
        <f t="shared" si="38"/>
        <v>0</v>
      </c>
      <c r="V53" s="176">
        <f t="shared" si="38"/>
        <v>0</v>
      </c>
      <c r="W53" s="176">
        <f t="shared" si="38"/>
        <v>0</v>
      </c>
      <c r="X53" s="176">
        <f t="shared" si="38"/>
        <v>0</v>
      </c>
      <c r="Y53" s="176">
        <f t="shared" si="38"/>
        <v>0</v>
      </c>
      <c r="Z53" s="176">
        <f t="shared" si="38"/>
        <v>0</v>
      </c>
      <c r="AA53" s="176">
        <f t="shared" si="38"/>
        <v>0</v>
      </c>
      <c r="AB53" s="176">
        <f t="shared" si="38"/>
        <v>0</v>
      </c>
      <c r="AC53" s="176">
        <f t="shared" si="38"/>
        <v>0</v>
      </c>
      <c r="AD53" s="176">
        <f t="shared" si="38"/>
        <v>0</v>
      </c>
      <c r="AE53" s="176">
        <f t="shared" si="38"/>
        <v>0</v>
      </c>
      <c r="AF53" s="176">
        <f t="shared" si="38"/>
        <v>0</v>
      </c>
      <c r="AG53" s="176">
        <f t="shared" si="38"/>
        <v>0</v>
      </c>
      <c r="AH53" s="176">
        <f t="shared" si="38"/>
        <v>0</v>
      </c>
      <c r="AI53" s="176">
        <f t="shared" si="38"/>
        <v>0</v>
      </c>
      <c r="AJ53" s="176">
        <f t="shared" si="38"/>
        <v>0</v>
      </c>
      <c r="AK53" s="176">
        <f t="shared" si="38"/>
        <v>0</v>
      </c>
      <c r="AL53" s="176">
        <f t="shared" si="38"/>
        <v>0</v>
      </c>
      <c r="AM53" s="176">
        <f t="shared" si="38"/>
        <v>0</v>
      </c>
      <c r="AN53" s="176">
        <f t="shared" si="38"/>
        <v>0</v>
      </c>
      <c r="AO53" s="176">
        <f t="shared" si="38"/>
        <v>0</v>
      </c>
      <c r="AP53" s="176">
        <f t="shared" si="38"/>
        <v>0</v>
      </c>
      <c r="AQ53" s="176">
        <f t="shared" si="38"/>
        <v>0</v>
      </c>
      <c r="AR53" s="176">
        <f t="shared" si="38"/>
        <v>0</v>
      </c>
      <c r="AS53" s="176">
        <f t="shared" si="38"/>
        <v>0</v>
      </c>
      <c r="AT53" s="176">
        <f t="shared" si="38"/>
        <v>0</v>
      </c>
      <c r="AU53" s="176">
        <f t="shared" si="38"/>
        <v>0</v>
      </c>
      <c r="AV53" s="176">
        <f t="shared" si="38"/>
        <v>0</v>
      </c>
      <c r="AW53" s="176">
        <f t="shared" si="38"/>
        <v>0</v>
      </c>
      <c r="AX53" s="176">
        <f t="shared" si="38"/>
        <v>0</v>
      </c>
      <c r="AY53" s="176">
        <f t="shared" si="38"/>
        <v>0</v>
      </c>
      <c r="AZ53" s="176">
        <f t="shared" si="38"/>
        <v>0</v>
      </c>
      <c r="BA53" s="176">
        <f t="shared" si="38"/>
        <v>0</v>
      </c>
      <c r="BB53" s="176">
        <f t="shared" si="38"/>
        <v>0</v>
      </c>
      <c r="BC53" s="176">
        <f t="shared" si="38"/>
        <v>0</v>
      </c>
      <c r="BD53" s="176">
        <f t="shared" si="38"/>
        <v>0</v>
      </c>
      <c r="BE53" s="176">
        <f t="shared" si="38"/>
        <v>0</v>
      </c>
      <c r="BF53" s="176">
        <f t="shared" si="38"/>
        <v>0</v>
      </c>
      <c r="BG53" s="176">
        <f t="shared" si="38"/>
        <v>0</v>
      </c>
      <c r="BH53" s="176">
        <f t="shared" si="38"/>
        <v>0</v>
      </c>
      <c r="BI53" s="176">
        <f t="shared" si="38"/>
        <v>0</v>
      </c>
      <c r="BJ53" s="176">
        <f t="shared" si="38"/>
        <v>0</v>
      </c>
      <c r="BK53" s="176">
        <f t="shared" si="38"/>
        <v>0</v>
      </c>
      <c r="BL53" s="176">
        <f t="shared" si="38"/>
        <v>0</v>
      </c>
      <c r="BM53" s="176">
        <f t="shared" si="38"/>
        <v>0</v>
      </c>
      <c r="BN53" s="176">
        <f t="shared" si="38"/>
        <v>0</v>
      </c>
      <c r="BO53" s="176">
        <f t="shared" si="38"/>
        <v>0</v>
      </c>
      <c r="BP53" s="176">
        <f t="shared" ref="BP53:EA53" si="39">SUM(BP50:BP52)</f>
        <v>0</v>
      </c>
      <c r="BQ53" s="176">
        <f t="shared" si="39"/>
        <v>0</v>
      </c>
      <c r="BR53" s="176">
        <f t="shared" si="39"/>
        <v>0</v>
      </c>
      <c r="BS53" s="176">
        <f t="shared" si="39"/>
        <v>0</v>
      </c>
      <c r="BT53" s="176">
        <f t="shared" si="39"/>
        <v>0</v>
      </c>
      <c r="BU53" s="176">
        <f t="shared" si="39"/>
        <v>0</v>
      </c>
      <c r="BV53" s="176">
        <f t="shared" si="39"/>
        <v>0</v>
      </c>
      <c r="BW53" s="176">
        <f t="shared" si="39"/>
        <v>0</v>
      </c>
      <c r="BX53" s="176">
        <f t="shared" si="39"/>
        <v>0</v>
      </c>
      <c r="BY53" s="176">
        <f t="shared" si="39"/>
        <v>0</v>
      </c>
      <c r="BZ53" s="176">
        <f t="shared" si="39"/>
        <v>0</v>
      </c>
      <c r="CA53" s="176">
        <f t="shared" si="39"/>
        <v>0</v>
      </c>
      <c r="CB53" s="176">
        <f t="shared" si="39"/>
        <v>0</v>
      </c>
      <c r="CC53" s="176">
        <f t="shared" si="39"/>
        <v>0</v>
      </c>
      <c r="CD53" s="176">
        <f t="shared" si="39"/>
        <v>0</v>
      </c>
      <c r="CE53" s="176">
        <f t="shared" si="39"/>
        <v>0</v>
      </c>
      <c r="CF53" s="176">
        <f t="shared" si="39"/>
        <v>0</v>
      </c>
      <c r="CG53" s="176">
        <f t="shared" si="39"/>
        <v>0</v>
      </c>
      <c r="CH53" s="176">
        <f t="shared" si="39"/>
        <v>0</v>
      </c>
      <c r="CI53" s="176">
        <f t="shared" si="39"/>
        <v>0</v>
      </c>
      <c r="CJ53" s="176">
        <f t="shared" si="39"/>
        <v>0</v>
      </c>
      <c r="CK53" s="176">
        <f t="shared" si="39"/>
        <v>0</v>
      </c>
      <c r="CL53" s="176">
        <f t="shared" si="39"/>
        <v>0</v>
      </c>
      <c r="CM53" s="176">
        <f t="shared" si="39"/>
        <v>0</v>
      </c>
      <c r="CN53" s="176">
        <f t="shared" si="39"/>
        <v>0</v>
      </c>
      <c r="CO53" s="176">
        <f t="shared" si="39"/>
        <v>0</v>
      </c>
      <c r="CP53" s="176">
        <f t="shared" si="39"/>
        <v>0</v>
      </c>
      <c r="CQ53" s="176">
        <f t="shared" si="39"/>
        <v>0</v>
      </c>
      <c r="CR53" s="176">
        <f t="shared" si="39"/>
        <v>0</v>
      </c>
      <c r="CS53" s="176">
        <f t="shared" si="39"/>
        <v>0</v>
      </c>
      <c r="CT53" s="176">
        <f t="shared" si="39"/>
        <v>0</v>
      </c>
      <c r="CU53" s="176">
        <f t="shared" si="39"/>
        <v>0</v>
      </c>
      <c r="CV53" s="176">
        <f t="shared" si="39"/>
        <v>0</v>
      </c>
      <c r="CW53" s="176">
        <f t="shared" si="39"/>
        <v>0</v>
      </c>
      <c r="CX53" s="176">
        <f t="shared" si="39"/>
        <v>0</v>
      </c>
      <c r="CY53" s="176">
        <f t="shared" si="39"/>
        <v>0</v>
      </c>
      <c r="CZ53" s="176">
        <f t="shared" si="39"/>
        <v>0</v>
      </c>
      <c r="DA53" s="176">
        <f t="shared" si="39"/>
        <v>0</v>
      </c>
      <c r="DB53" s="176">
        <f t="shared" si="39"/>
        <v>0</v>
      </c>
      <c r="DC53" s="176">
        <f t="shared" si="39"/>
        <v>0</v>
      </c>
      <c r="DD53" s="176">
        <f t="shared" si="39"/>
        <v>0</v>
      </c>
      <c r="DE53" s="176">
        <f t="shared" si="39"/>
        <v>0</v>
      </c>
      <c r="DF53" s="176">
        <f t="shared" si="39"/>
        <v>0</v>
      </c>
      <c r="DG53" s="176">
        <f t="shared" si="39"/>
        <v>0</v>
      </c>
      <c r="DH53" s="176">
        <f t="shared" si="39"/>
        <v>0</v>
      </c>
      <c r="DI53" s="176">
        <f t="shared" si="39"/>
        <v>0</v>
      </c>
      <c r="DJ53" s="176">
        <f t="shared" si="39"/>
        <v>0</v>
      </c>
      <c r="DK53" s="176">
        <f t="shared" si="39"/>
        <v>0</v>
      </c>
      <c r="DL53" s="176">
        <f t="shared" si="39"/>
        <v>0</v>
      </c>
      <c r="DM53" s="176">
        <f t="shared" si="39"/>
        <v>0</v>
      </c>
      <c r="DN53" s="176">
        <f t="shared" si="39"/>
        <v>0</v>
      </c>
      <c r="DO53" s="176">
        <f t="shared" si="39"/>
        <v>0</v>
      </c>
      <c r="DP53" s="176">
        <f t="shared" si="39"/>
        <v>0</v>
      </c>
      <c r="DQ53" s="176">
        <f t="shared" si="39"/>
        <v>0</v>
      </c>
      <c r="DR53" s="176">
        <f t="shared" si="39"/>
        <v>0</v>
      </c>
      <c r="DS53" s="176">
        <f t="shared" si="39"/>
        <v>0</v>
      </c>
      <c r="DT53" s="176">
        <f t="shared" si="39"/>
        <v>0</v>
      </c>
      <c r="DU53" s="176">
        <f t="shared" si="39"/>
        <v>0</v>
      </c>
      <c r="DV53" s="176">
        <f t="shared" si="39"/>
        <v>0</v>
      </c>
      <c r="DW53" s="176">
        <f t="shared" si="39"/>
        <v>0</v>
      </c>
      <c r="DX53" s="176">
        <f t="shared" si="39"/>
        <v>0</v>
      </c>
      <c r="DY53" s="176">
        <f t="shared" si="39"/>
        <v>0</v>
      </c>
      <c r="DZ53" s="176">
        <f t="shared" si="39"/>
        <v>0</v>
      </c>
      <c r="EA53" s="176">
        <f t="shared" si="39"/>
        <v>0</v>
      </c>
      <c r="EB53" s="176">
        <f t="shared" ref="EB53:FR53" si="40">SUM(EB50:EB52)</f>
        <v>0</v>
      </c>
      <c r="EC53" s="176">
        <f t="shared" si="40"/>
        <v>0</v>
      </c>
      <c r="ED53" s="176">
        <f t="shared" si="40"/>
        <v>0</v>
      </c>
      <c r="EE53" s="176">
        <f t="shared" si="40"/>
        <v>0</v>
      </c>
      <c r="EF53" s="176">
        <f t="shared" si="40"/>
        <v>0</v>
      </c>
      <c r="EG53" s="176">
        <f t="shared" si="40"/>
        <v>0</v>
      </c>
      <c r="EH53" s="176">
        <f t="shared" si="40"/>
        <v>0</v>
      </c>
      <c r="EI53" s="176">
        <f t="shared" si="40"/>
        <v>0</v>
      </c>
      <c r="EJ53" s="176">
        <f t="shared" si="40"/>
        <v>0</v>
      </c>
      <c r="EK53" s="176">
        <f t="shared" si="40"/>
        <v>0</v>
      </c>
      <c r="EL53" s="176">
        <f t="shared" si="40"/>
        <v>0</v>
      </c>
      <c r="EM53" s="176">
        <f t="shared" si="40"/>
        <v>0</v>
      </c>
      <c r="EN53" s="176">
        <f t="shared" si="40"/>
        <v>0</v>
      </c>
      <c r="EO53" s="176">
        <f t="shared" si="40"/>
        <v>0</v>
      </c>
      <c r="EP53" s="176">
        <f t="shared" si="40"/>
        <v>0</v>
      </c>
      <c r="EQ53" s="176">
        <f t="shared" si="40"/>
        <v>0</v>
      </c>
      <c r="ER53" s="176">
        <f t="shared" si="40"/>
        <v>0</v>
      </c>
      <c r="ES53" s="176">
        <f t="shared" si="40"/>
        <v>0</v>
      </c>
      <c r="ET53" s="176">
        <f t="shared" si="40"/>
        <v>0</v>
      </c>
      <c r="EU53" s="176">
        <f t="shared" si="40"/>
        <v>0</v>
      </c>
      <c r="EV53" s="176">
        <f t="shared" si="40"/>
        <v>0</v>
      </c>
      <c r="EW53" s="176">
        <f t="shared" si="40"/>
        <v>0</v>
      </c>
      <c r="EX53" s="176">
        <f t="shared" si="40"/>
        <v>0</v>
      </c>
      <c r="EY53" s="176">
        <f t="shared" si="40"/>
        <v>0</v>
      </c>
      <c r="EZ53" s="176">
        <f t="shared" si="40"/>
        <v>0</v>
      </c>
      <c r="FA53" s="176">
        <f t="shared" si="40"/>
        <v>0</v>
      </c>
      <c r="FB53" s="176">
        <f t="shared" si="40"/>
        <v>0</v>
      </c>
      <c r="FC53" s="176">
        <f t="shared" si="40"/>
        <v>0</v>
      </c>
      <c r="FD53" s="176">
        <f t="shared" si="40"/>
        <v>0</v>
      </c>
      <c r="FE53" s="176">
        <f t="shared" si="40"/>
        <v>0</v>
      </c>
      <c r="FF53" s="176">
        <f t="shared" si="40"/>
        <v>0</v>
      </c>
      <c r="FG53" s="176">
        <f t="shared" si="40"/>
        <v>0</v>
      </c>
      <c r="FH53" s="176">
        <f t="shared" si="40"/>
        <v>0</v>
      </c>
      <c r="FI53" s="176">
        <f t="shared" si="40"/>
        <v>0</v>
      </c>
      <c r="FJ53" s="176">
        <f t="shared" si="40"/>
        <v>0</v>
      </c>
      <c r="FK53" s="176">
        <f t="shared" si="40"/>
        <v>0</v>
      </c>
      <c r="FL53" s="176">
        <f t="shared" si="40"/>
        <v>0</v>
      </c>
      <c r="FM53" s="176">
        <f t="shared" si="40"/>
        <v>0</v>
      </c>
      <c r="FN53" s="176">
        <f t="shared" si="40"/>
        <v>0</v>
      </c>
      <c r="FO53" s="176">
        <f t="shared" si="40"/>
        <v>0</v>
      </c>
      <c r="FP53" s="176">
        <f t="shared" si="40"/>
        <v>0</v>
      </c>
      <c r="FQ53" s="176">
        <f t="shared" si="40"/>
        <v>0</v>
      </c>
      <c r="FR53" s="176">
        <f t="shared" si="40"/>
        <v>0</v>
      </c>
    </row>
    <row r="54" spans="1:174" ht="15" customHeight="1" thickBot="1" x14ac:dyDescent="0.35">
      <c r="A54" s="170"/>
      <c r="B54" s="171" t="s">
        <v>33</v>
      </c>
      <c r="C54" s="177">
        <f>C53/3</f>
        <v>9</v>
      </c>
      <c r="D54" s="177">
        <f t="shared" ref="D54:BO54" si="41">D53/3</f>
        <v>0</v>
      </c>
      <c r="E54" s="177">
        <f t="shared" si="41"/>
        <v>0</v>
      </c>
      <c r="F54" s="177">
        <f t="shared" si="41"/>
        <v>0</v>
      </c>
      <c r="G54" s="177">
        <f t="shared" si="41"/>
        <v>0</v>
      </c>
      <c r="H54" s="177">
        <f t="shared" si="41"/>
        <v>0</v>
      </c>
      <c r="I54" s="177">
        <f t="shared" si="41"/>
        <v>0</v>
      </c>
      <c r="J54" s="177">
        <f t="shared" si="41"/>
        <v>0</v>
      </c>
      <c r="K54" s="177">
        <f t="shared" si="41"/>
        <v>0</v>
      </c>
      <c r="L54" s="177">
        <f t="shared" si="41"/>
        <v>0</v>
      </c>
      <c r="M54" s="177">
        <f t="shared" si="41"/>
        <v>0</v>
      </c>
      <c r="N54" s="177">
        <f t="shared" si="41"/>
        <v>0</v>
      </c>
      <c r="O54" s="177">
        <f t="shared" si="41"/>
        <v>0</v>
      </c>
      <c r="P54" s="177">
        <f t="shared" si="41"/>
        <v>0</v>
      </c>
      <c r="Q54" s="177">
        <f t="shared" si="41"/>
        <v>0</v>
      </c>
      <c r="R54" s="177">
        <f t="shared" si="41"/>
        <v>0</v>
      </c>
      <c r="S54" s="177">
        <f t="shared" si="41"/>
        <v>0</v>
      </c>
      <c r="T54" s="177">
        <f t="shared" si="41"/>
        <v>0</v>
      </c>
      <c r="U54" s="177">
        <f t="shared" si="41"/>
        <v>0</v>
      </c>
      <c r="V54" s="177">
        <f t="shared" si="41"/>
        <v>0</v>
      </c>
      <c r="W54" s="177">
        <f t="shared" si="41"/>
        <v>0</v>
      </c>
      <c r="X54" s="177">
        <f t="shared" si="41"/>
        <v>0</v>
      </c>
      <c r="Y54" s="177">
        <f t="shared" si="41"/>
        <v>0</v>
      </c>
      <c r="Z54" s="177">
        <f t="shared" si="41"/>
        <v>0</v>
      </c>
      <c r="AA54" s="177">
        <f t="shared" si="41"/>
        <v>0</v>
      </c>
      <c r="AB54" s="177">
        <f t="shared" si="41"/>
        <v>0</v>
      </c>
      <c r="AC54" s="177">
        <f t="shared" si="41"/>
        <v>0</v>
      </c>
      <c r="AD54" s="177">
        <f t="shared" si="41"/>
        <v>0</v>
      </c>
      <c r="AE54" s="177">
        <f t="shared" si="41"/>
        <v>0</v>
      </c>
      <c r="AF54" s="177">
        <f t="shared" si="41"/>
        <v>0</v>
      </c>
      <c r="AG54" s="177">
        <f t="shared" si="41"/>
        <v>0</v>
      </c>
      <c r="AH54" s="177">
        <f t="shared" si="41"/>
        <v>0</v>
      </c>
      <c r="AI54" s="177">
        <f t="shared" si="41"/>
        <v>0</v>
      </c>
      <c r="AJ54" s="177">
        <f t="shared" si="41"/>
        <v>0</v>
      </c>
      <c r="AK54" s="177">
        <f t="shared" si="41"/>
        <v>0</v>
      </c>
      <c r="AL54" s="177">
        <f t="shared" si="41"/>
        <v>0</v>
      </c>
      <c r="AM54" s="177">
        <f t="shared" si="41"/>
        <v>0</v>
      </c>
      <c r="AN54" s="177">
        <f t="shared" si="41"/>
        <v>0</v>
      </c>
      <c r="AO54" s="177">
        <f t="shared" si="41"/>
        <v>0</v>
      </c>
      <c r="AP54" s="177">
        <f t="shared" si="41"/>
        <v>0</v>
      </c>
      <c r="AQ54" s="177">
        <f t="shared" si="41"/>
        <v>0</v>
      </c>
      <c r="AR54" s="177">
        <f t="shared" si="41"/>
        <v>0</v>
      </c>
      <c r="AS54" s="177">
        <f t="shared" si="41"/>
        <v>0</v>
      </c>
      <c r="AT54" s="177">
        <f t="shared" si="41"/>
        <v>0</v>
      </c>
      <c r="AU54" s="177">
        <f t="shared" si="41"/>
        <v>0</v>
      </c>
      <c r="AV54" s="177">
        <f t="shared" si="41"/>
        <v>0</v>
      </c>
      <c r="AW54" s="177">
        <f t="shared" si="41"/>
        <v>0</v>
      </c>
      <c r="AX54" s="177">
        <f t="shared" si="41"/>
        <v>0</v>
      </c>
      <c r="AY54" s="177">
        <f t="shared" si="41"/>
        <v>0</v>
      </c>
      <c r="AZ54" s="177">
        <f t="shared" si="41"/>
        <v>0</v>
      </c>
      <c r="BA54" s="177">
        <f t="shared" si="41"/>
        <v>0</v>
      </c>
      <c r="BB54" s="177">
        <f t="shared" si="41"/>
        <v>0</v>
      </c>
      <c r="BC54" s="177">
        <f t="shared" si="41"/>
        <v>0</v>
      </c>
      <c r="BD54" s="177">
        <f t="shared" si="41"/>
        <v>0</v>
      </c>
      <c r="BE54" s="177">
        <f t="shared" si="41"/>
        <v>0</v>
      </c>
      <c r="BF54" s="177">
        <f t="shared" si="41"/>
        <v>0</v>
      </c>
      <c r="BG54" s="177">
        <f t="shared" si="41"/>
        <v>0</v>
      </c>
      <c r="BH54" s="177">
        <f t="shared" si="41"/>
        <v>0</v>
      </c>
      <c r="BI54" s="177">
        <f t="shared" si="41"/>
        <v>0</v>
      </c>
      <c r="BJ54" s="177">
        <f t="shared" si="41"/>
        <v>0</v>
      </c>
      <c r="BK54" s="177">
        <f t="shared" si="41"/>
        <v>0</v>
      </c>
      <c r="BL54" s="177">
        <f t="shared" si="41"/>
        <v>0</v>
      </c>
      <c r="BM54" s="177">
        <f t="shared" si="41"/>
        <v>0</v>
      </c>
      <c r="BN54" s="177">
        <f t="shared" si="41"/>
        <v>0</v>
      </c>
      <c r="BO54" s="177">
        <f t="shared" si="41"/>
        <v>0</v>
      </c>
      <c r="BP54" s="177">
        <f t="shared" ref="BP54:EA54" si="42">BP53/3</f>
        <v>0</v>
      </c>
      <c r="BQ54" s="177">
        <f t="shared" si="42"/>
        <v>0</v>
      </c>
      <c r="BR54" s="177">
        <f t="shared" si="42"/>
        <v>0</v>
      </c>
      <c r="BS54" s="177">
        <f t="shared" si="42"/>
        <v>0</v>
      </c>
      <c r="BT54" s="177">
        <f t="shared" si="42"/>
        <v>0</v>
      </c>
      <c r="BU54" s="177">
        <f t="shared" si="42"/>
        <v>0</v>
      </c>
      <c r="BV54" s="177">
        <f t="shared" si="42"/>
        <v>0</v>
      </c>
      <c r="BW54" s="177">
        <f t="shared" si="42"/>
        <v>0</v>
      </c>
      <c r="BX54" s="177">
        <f t="shared" si="42"/>
        <v>0</v>
      </c>
      <c r="BY54" s="177">
        <f t="shared" si="42"/>
        <v>0</v>
      </c>
      <c r="BZ54" s="177">
        <f t="shared" si="42"/>
        <v>0</v>
      </c>
      <c r="CA54" s="177">
        <f t="shared" si="42"/>
        <v>0</v>
      </c>
      <c r="CB54" s="177">
        <f t="shared" si="42"/>
        <v>0</v>
      </c>
      <c r="CC54" s="177">
        <f t="shared" si="42"/>
        <v>0</v>
      </c>
      <c r="CD54" s="177">
        <f t="shared" si="42"/>
        <v>0</v>
      </c>
      <c r="CE54" s="177">
        <f t="shared" si="42"/>
        <v>0</v>
      </c>
      <c r="CF54" s="177">
        <f t="shared" si="42"/>
        <v>0</v>
      </c>
      <c r="CG54" s="177">
        <f t="shared" si="42"/>
        <v>0</v>
      </c>
      <c r="CH54" s="177">
        <f t="shared" si="42"/>
        <v>0</v>
      </c>
      <c r="CI54" s="177">
        <f t="shared" si="42"/>
        <v>0</v>
      </c>
      <c r="CJ54" s="177">
        <f t="shared" si="42"/>
        <v>0</v>
      </c>
      <c r="CK54" s="177">
        <f t="shared" si="42"/>
        <v>0</v>
      </c>
      <c r="CL54" s="177">
        <f t="shared" si="42"/>
        <v>0</v>
      </c>
      <c r="CM54" s="177">
        <f t="shared" si="42"/>
        <v>0</v>
      </c>
      <c r="CN54" s="177">
        <f t="shared" si="42"/>
        <v>0</v>
      </c>
      <c r="CO54" s="177">
        <f t="shared" si="42"/>
        <v>0</v>
      </c>
      <c r="CP54" s="177">
        <f t="shared" si="42"/>
        <v>0</v>
      </c>
      <c r="CQ54" s="177">
        <f t="shared" si="42"/>
        <v>0</v>
      </c>
      <c r="CR54" s="177">
        <f t="shared" si="42"/>
        <v>0</v>
      </c>
      <c r="CS54" s="177">
        <f t="shared" si="42"/>
        <v>0</v>
      </c>
      <c r="CT54" s="177">
        <f t="shared" si="42"/>
        <v>0</v>
      </c>
      <c r="CU54" s="177">
        <f t="shared" si="42"/>
        <v>0</v>
      </c>
      <c r="CV54" s="177">
        <f t="shared" si="42"/>
        <v>0</v>
      </c>
      <c r="CW54" s="177">
        <f t="shared" si="42"/>
        <v>0</v>
      </c>
      <c r="CX54" s="177">
        <f t="shared" si="42"/>
        <v>0</v>
      </c>
      <c r="CY54" s="177">
        <f t="shared" si="42"/>
        <v>0</v>
      </c>
      <c r="CZ54" s="177">
        <f t="shared" si="42"/>
        <v>0</v>
      </c>
      <c r="DA54" s="177">
        <f t="shared" si="42"/>
        <v>0</v>
      </c>
      <c r="DB54" s="177">
        <f t="shared" si="42"/>
        <v>0</v>
      </c>
      <c r="DC54" s="177">
        <f t="shared" si="42"/>
        <v>0</v>
      </c>
      <c r="DD54" s="177">
        <f t="shared" si="42"/>
        <v>0</v>
      </c>
      <c r="DE54" s="177">
        <f t="shared" si="42"/>
        <v>0</v>
      </c>
      <c r="DF54" s="177">
        <f t="shared" si="42"/>
        <v>0</v>
      </c>
      <c r="DG54" s="177">
        <f t="shared" si="42"/>
        <v>0</v>
      </c>
      <c r="DH54" s="177">
        <f t="shared" si="42"/>
        <v>0</v>
      </c>
      <c r="DI54" s="177">
        <f t="shared" si="42"/>
        <v>0</v>
      </c>
      <c r="DJ54" s="177">
        <f t="shared" si="42"/>
        <v>0</v>
      </c>
      <c r="DK54" s="177">
        <f t="shared" si="42"/>
        <v>0</v>
      </c>
      <c r="DL54" s="177">
        <f t="shared" si="42"/>
        <v>0</v>
      </c>
      <c r="DM54" s="177">
        <f t="shared" si="42"/>
        <v>0</v>
      </c>
      <c r="DN54" s="177">
        <f t="shared" si="42"/>
        <v>0</v>
      </c>
      <c r="DO54" s="177">
        <f t="shared" si="42"/>
        <v>0</v>
      </c>
      <c r="DP54" s="177">
        <f t="shared" si="42"/>
        <v>0</v>
      </c>
      <c r="DQ54" s="177">
        <f t="shared" si="42"/>
        <v>0</v>
      </c>
      <c r="DR54" s="177">
        <f t="shared" si="42"/>
        <v>0</v>
      </c>
      <c r="DS54" s="177">
        <f t="shared" si="42"/>
        <v>0</v>
      </c>
      <c r="DT54" s="177">
        <f t="shared" si="42"/>
        <v>0</v>
      </c>
      <c r="DU54" s="177">
        <f t="shared" si="42"/>
        <v>0</v>
      </c>
      <c r="DV54" s="177">
        <f t="shared" si="42"/>
        <v>0</v>
      </c>
      <c r="DW54" s="177">
        <f t="shared" si="42"/>
        <v>0</v>
      </c>
      <c r="DX54" s="177">
        <f t="shared" si="42"/>
        <v>0</v>
      </c>
      <c r="DY54" s="177">
        <f t="shared" si="42"/>
        <v>0</v>
      </c>
      <c r="DZ54" s="177">
        <f t="shared" si="42"/>
        <v>0</v>
      </c>
      <c r="EA54" s="177">
        <f t="shared" si="42"/>
        <v>0</v>
      </c>
      <c r="EB54" s="177">
        <f t="shared" ref="EB54:FR54" si="43">EB53/3</f>
        <v>0</v>
      </c>
      <c r="EC54" s="177">
        <f t="shared" si="43"/>
        <v>0</v>
      </c>
      <c r="ED54" s="177">
        <f t="shared" si="43"/>
        <v>0</v>
      </c>
      <c r="EE54" s="177">
        <f t="shared" si="43"/>
        <v>0</v>
      </c>
      <c r="EF54" s="177">
        <f t="shared" si="43"/>
        <v>0</v>
      </c>
      <c r="EG54" s="177">
        <f t="shared" si="43"/>
        <v>0</v>
      </c>
      <c r="EH54" s="177">
        <f t="shared" si="43"/>
        <v>0</v>
      </c>
      <c r="EI54" s="177">
        <f t="shared" si="43"/>
        <v>0</v>
      </c>
      <c r="EJ54" s="177">
        <f t="shared" si="43"/>
        <v>0</v>
      </c>
      <c r="EK54" s="177">
        <f t="shared" si="43"/>
        <v>0</v>
      </c>
      <c r="EL54" s="177">
        <f t="shared" si="43"/>
        <v>0</v>
      </c>
      <c r="EM54" s="177">
        <f t="shared" si="43"/>
        <v>0</v>
      </c>
      <c r="EN54" s="177">
        <f t="shared" si="43"/>
        <v>0</v>
      </c>
      <c r="EO54" s="177">
        <f t="shared" si="43"/>
        <v>0</v>
      </c>
      <c r="EP54" s="177">
        <f t="shared" si="43"/>
        <v>0</v>
      </c>
      <c r="EQ54" s="177">
        <f t="shared" si="43"/>
        <v>0</v>
      </c>
      <c r="ER54" s="177">
        <f t="shared" si="43"/>
        <v>0</v>
      </c>
      <c r="ES54" s="177">
        <f t="shared" si="43"/>
        <v>0</v>
      </c>
      <c r="ET54" s="177">
        <f t="shared" si="43"/>
        <v>0</v>
      </c>
      <c r="EU54" s="177">
        <f t="shared" si="43"/>
        <v>0</v>
      </c>
      <c r="EV54" s="177">
        <f t="shared" si="43"/>
        <v>0</v>
      </c>
      <c r="EW54" s="177">
        <f t="shared" si="43"/>
        <v>0</v>
      </c>
      <c r="EX54" s="177">
        <f t="shared" si="43"/>
        <v>0</v>
      </c>
      <c r="EY54" s="177">
        <f t="shared" si="43"/>
        <v>0</v>
      </c>
      <c r="EZ54" s="177">
        <f t="shared" si="43"/>
        <v>0</v>
      </c>
      <c r="FA54" s="177">
        <f t="shared" si="43"/>
        <v>0</v>
      </c>
      <c r="FB54" s="177">
        <f t="shared" si="43"/>
        <v>0</v>
      </c>
      <c r="FC54" s="177">
        <f t="shared" si="43"/>
        <v>0</v>
      </c>
      <c r="FD54" s="177">
        <f t="shared" si="43"/>
        <v>0</v>
      </c>
      <c r="FE54" s="177">
        <f t="shared" si="43"/>
        <v>0</v>
      </c>
      <c r="FF54" s="177">
        <f t="shared" si="43"/>
        <v>0</v>
      </c>
      <c r="FG54" s="177">
        <f t="shared" si="43"/>
        <v>0</v>
      </c>
      <c r="FH54" s="177">
        <f t="shared" si="43"/>
        <v>0</v>
      </c>
      <c r="FI54" s="177">
        <f t="shared" si="43"/>
        <v>0</v>
      </c>
      <c r="FJ54" s="177">
        <f t="shared" si="43"/>
        <v>0</v>
      </c>
      <c r="FK54" s="177">
        <f t="shared" si="43"/>
        <v>0</v>
      </c>
      <c r="FL54" s="177">
        <f t="shared" si="43"/>
        <v>0</v>
      </c>
      <c r="FM54" s="177">
        <f t="shared" si="43"/>
        <v>0</v>
      </c>
      <c r="FN54" s="177">
        <f t="shared" si="43"/>
        <v>0</v>
      </c>
      <c r="FO54" s="177">
        <f t="shared" si="43"/>
        <v>0</v>
      </c>
      <c r="FP54" s="177">
        <f t="shared" si="43"/>
        <v>0</v>
      </c>
      <c r="FQ54" s="177">
        <f t="shared" si="43"/>
        <v>0</v>
      </c>
      <c r="FR54" s="177">
        <f t="shared" si="43"/>
        <v>0</v>
      </c>
    </row>
    <row r="55" spans="1:174" ht="15" customHeight="1" x14ac:dyDescent="0.3">
      <c r="A55" s="126"/>
      <c r="B55" s="172"/>
      <c r="C55" s="178"/>
      <c r="D55" s="178"/>
      <c r="E55" s="178"/>
      <c r="F55" s="178"/>
      <c r="G55" s="178"/>
      <c r="H55" s="178"/>
      <c r="I55" s="178"/>
      <c r="J55" s="178"/>
      <c r="K55" s="178"/>
      <c r="L55" s="178"/>
      <c r="M55" s="178"/>
      <c r="N55" s="178"/>
      <c r="O55" s="178"/>
      <c r="P55" s="178"/>
      <c r="Q55" s="178"/>
      <c r="R55" s="178"/>
      <c r="S55" s="178"/>
      <c r="T55" s="178"/>
      <c r="U55" s="178"/>
      <c r="V55" s="178"/>
      <c r="W55" s="178"/>
      <c r="X55" s="178"/>
      <c r="Y55" s="178"/>
      <c r="Z55" s="178"/>
      <c r="AA55" s="178"/>
      <c r="AB55" s="178"/>
      <c r="AC55" s="178"/>
      <c r="AD55" s="178"/>
      <c r="AE55" s="178"/>
      <c r="AF55" s="178"/>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178"/>
      <c r="BI55" s="178"/>
      <c r="BJ55" s="178"/>
      <c r="BK55" s="178"/>
      <c r="BL55" s="178"/>
      <c r="BM55" s="178"/>
      <c r="BN55" s="178"/>
      <c r="BO55" s="178"/>
      <c r="BP55" s="178"/>
      <c r="BQ55" s="178"/>
      <c r="BR55" s="178"/>
      <c r="BS55" s="178"/>
      <c r="BT55" s="178"/>
      <c r="BU55" s="178"/>
      <c r="BV55" s="178"/>
      <c r="BW55" s="178"/>
      <c r="BX55" s="178"/>
      <c r="BY55" s="178"/>
      <c r="BZ55" s="178"/>
      <c r="CA55" s="178"/>
      <c r="CB55" s="178"/>
      <c r="CC55" s="178"/>
      <c r="CD55" s="178"/>
      <c r="CE55" s="178"/>
      <c r="CF55" s="178"/>
      <c r="CG55" s="178"/>
      <c r="CH55" s="178"/>
      <c r="CI55" s="178"/>
      <c r="CJ55" s="178"/>
      <c r="CK55" s="178"/>
      <c r="CL55" s="178"/>
      <c r="CM55" s="178"/>
      <c r="CN55" s="178"/>
      <c r="CO55" s="178"/>
      <c r="CP55" s="178"/>
      <c r="CQ55" s="178"/>
      <c r="CR55" s="178"/>
      <c r="CS55" s="178"/>
      <c r="CT55" s="178"/>
      <c r="CU55" s="178"/>
      <c r="CV55" s="178"/>
      <c r="CW55" s="178"/>
      <c r="CX55" s="178"/>
      <c r="CY55" s="178"/>
      <c r="CZ55" s="178"/>
      <c r="DA55" s="178"/>
      <c r="DB55" s="178"/>
      <c r="DC55" s="178"/>
      <c r="DD55" s="178"/>
      <c r="DE55" s="178"/>
      <c r="DF55" s="178"/>
      <c r="DG55" s="178"/>
      <c r="DH55" s="178"/>
      <c r="DI55" s="178"/>
      <c r="DJ55" s="178"/>
      <c r="DK55" s="178"/>
      <c r="DL55" s="178"/>
      <c r="DM55" s="178"/>
      <c r="DN55" s="178"/>
      <c r="DO55" s="178"/>
      <c r="DP55" s="178"/>
      <c r="DQ55" s="178"/>
      <c r="DR55" s="178"/>
      <c r="DS55" s="178"/>
      <c r="DT55" s="178"/>
      <c r="DU55" s="178"/>
      <c r="DV55" s="178"/>
      <c r="DW55" s="178"/>
      <c r="DX55" s="178"/>
      <c r="DY55" s="178"/>
      <c r="DZ55" s="178"/>
      <c r="EA55" s="178"/>
      <c r="EB55" s="178"/>
      <c r="EC55" s="178"/>
      <c r="ED55" s="178"/>
      <c r="EE55" s="178"/>
      <c r="EF55" s="178"/>
      <c r="EG55" s="178"/>
      <c r="EH55" s="178"/>
      <c r="EI55" s="178"/>
      <c r="EJ55" s="178"/>
      <c r="EK55" s="178"/>
      <c r="EL55" s="178"/>
      <c r="EM55" s="178"/>
      <c r="EN55" s="178"/>
      <c r="EO55" s="178"/>
      <c r="EP55" s="178"/>
      <c r="EQ55" s="178"/>
      <c r="ER55" s="178"/>
      <c r="ES55" s="178"/>
      <c r="ET55" s="178"/>
      <c r="EU55" s="178"/>
      <c r="EV55" s="178"/>
      <c r="EW55" s="178"/>
      <c r="EX55" s="178"/>
      <c r="EY55" s="178"/>
      <c r="EZ55" s="178"/>
      <c r="FA55" s="178"/>
      <c r="FB55" s="178"/>
      <c r="FC55" s="178"/>
      <c r="FD55" s="178"/>
      <c r="FE55" s="178"/>
      <c r="FF55" s="178"/>
      <c r="FG55" s="178"/>
      <c r="FH55" s="178"/>
      <c r="FI55" s="178"/>
      <c r="FJ55" s="178"/>
      <c r="FK55" s="178"/>
      <c r="FL55" s="178"/>
      <c r="FM55" s="178"/>
      <c r="FN55" s="178"/>
      <c r="FO55" s="178"/>
      <c r="FP55" s="178"/>
      <c r="FQ55" s="178"/>
      <c r="FR55" s="178"/>
    </row>
    <row r="56" spans="1:174" ht="15" customHeight="1" thickBot="1" x14ac:dyDescent="0.35">
      <c r="A56" s="123">
        <v>1.6</v>
      </c>
      <c r="B56" s="124" t="s">
        <v>14</v>
      </c>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c r="AA56" s="127"/>
      <c r="AB56" s="127"/>
      <c r="AC56" s="127"/>
      <c r="AD56" s="127"/>
      <c r="AE56" s="127"/>
      <c r="AF56" s="127"/>
      <c r="AG56" s="127"/>
      <c r="AH56" s="127"/>
      <c r="AI56" s="127"/>
      <c r="AJ56" s="127"/>
      <c r="AK56" s="127"/>
      <c r="AL56" s="127"/>
      <c r="AM56" s="127"/>
      <c r="AN56" s="127"/>
      <c r="AO56" s="127"/>
      <c r="AP56" s="127"/>
      <c r="AQ56" s="127"/>
      <c r="AR56" s="127"/>
      <c r="AS56" s="127"/>
      <c r="AT56" s="127"/>
      <c r="AU56" s="127"/>
      <c r="AV56" s="127"/>
      <c r="AW56" s="127"/>
      <c r="AX56" s="127"/>
      <c r="AY56" s="127"/>
      <c r="AZ56" s="127"/>
      <c r="BA56" s="127"/>
      <c r="BB56" s="127"/>
      <c r="BC56" s="127"/>
      <c r="BD56" s="127"/>
      <c r="BE56" s="127"/>
      <c r="BF56" s="127"/>
      <c r="BG56" s="127"/>
      <c r="BH56" s="127"/>
      <c r="BI56" s="127"/>
      <c r="BJ56" s="127"/>
      <c r="BK56" s="127"/>
      <c r="BL56" s="127"/>
      <c r="BM56" s="127"/>
      <c r="BN56" s="127"/>
      <c r="BO56" s="127"/>
      <c r="BP56" s="127"/>
      <c r="BQ56" s="127"/>
      <c r="BR56" s="127"/>
      <c r="BS56" s="127"/>
      <c r="BT56" s="127"/>
      <c r="BU56" s="127"/>
      <c r="BV56" s="127"/>
      <c r="BW56" s="127"/>
      <c r="BX56" s="127"/>
      <c r="BY56" s="127"/>
      <c r="BZ56" s="127"/>
      <c r="CA56" s="127"/>
      <c r="CB56" s="127"/>
      <c r="CC56" s="127"/>
      <c r="CD56" s="127"/>
      <c r="CE56" s="127"/>
      <c r="CF56" s="127"/>
      <c r="CG56" s="127"/>
      <c r="CH56" s="127"/>
      <c r="CI56" s="127"/>
      <c r="CJ56" s="127"/>
      <c r="CK56" s="127"/>
      <c r="CL56" s="127"/>
      <c r="CM56" s="127"/>
      <c r="CN56" s="127"/>
      <c r="CO56" s="127"/>
      <c r="CP56" s="127"/>
      <c r="CQ56" s="127"/>
      <c r="CR56" s="127"/>
      <c r="CS56" s="127"/>
      <c r="CT56" s="127"/>
      <c r="CU56" s="127"/>
      <c r="CV56" s="127"/>
      <c r="CW56" s="127"/>
      <c r="CX56" s="127"/>
      <c r="CY56" s="127"/>
      <c r="CZ56" s="127"/>
      <c r="DA56" s="127"/>
      <c r="DB56" s="127"/>
      <c r="DC56" s="127"/>
      <c r="DD56" s="127"/>
      <c r="DE56" s="127"/>
      <c r="DF56" s="127"/>
      <c r="DG56" s="127"/>
      <c r="DH56" s="127"/>
      <c r="DI56" s="127"/>
      <c r="DJ56" s="127"/>
      <c r="DK56" s="127"/>
      <c r="DL56" s="127"/>
      <c r="DM56" s="127"/>
      <c r="DN56" s="127"/>
      <c r="DO56" s="127"/>
      <c r="DP56" s="127"/>
      <c r="DQ56" s="127"/>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c r="EN56" s="127"/>
      <c r="EO56" s="127"/>
      <c r="EP56" s="127"/>
      <c r="EQ56" s="127"/>
      <c r="ER56" s="127"/>
      <c r="ES56" s="127"/>
      <c r="ET56" s="127"/>
      <c r="EU56" s="127"/>
      <c r="EV56" s="127"/>
      <c r="EW56" s="127"/>
      <c r="EX56" s="127"/>
      <c r="EY56" s="127"/>
      <c r="EZ56" s="127"/>
      <c r="FA56" s="127"/>
      <c r="FB56" s="127"/>
      <c r="FC56" s="127"/>
      <c r="FD56" s="127"/>
      <c r="FE56" s="127"/>
      <c r="FF56" s="127"/>
      <c r="FG56" s="127"/>
      <c r="FH56" s="127"/>
      <c r="FI56" s="127"/>
      <c r="FJ56" s="127"/>
      <c r="FK56" s="127"/>
      <c r="FL56" s="127"/>
      <c r="FM56" s="127"/>
      <c r="FN56" s="127"/>
      <c r="FO56" s="127"/>
      <c r="FP56" s="127"/>
      <c r="FQ56" s="127"/>
      <c r="FR56" s="127"/>
    </row>
    <row r="57" spans="1:174" ht="25.05" customHeight="1" x14ac:dyDescent="0.3">
      <c r="A57" s="164" t="s">
        <v>22</v>
      </c>
      <c r="B57" s="165" t="s">
        <v>44</v>
      </c>
      <c r="C57" s="125">
        <v>9</v>
      </c>
      <c r="D57" s="125"/>
      <c r="E57" s="125"/>
      <c r="F57" s="125"/>
      <c r="G57" s="125"/>
      <c r="H57" s="125"/>
      <c r="I57" s="125"/>
      <c r="J57" s="125"/>
      <c r="K57" s="125"/>
      <c r="L57" s="125"/>
      <c r="M57" s="125"/>
      <c r="N57" s="125"/>
      <c r="O57" s="125"/>
      <c r="P57" s="125"/>
      <c r="Q57" s="125"/>
      <c r="R57" s="125"/>
      <c r="S57" s="125"/>
      <c r="T57" s="125"/>
      <c r="U57" s="125"/>
      <c r="V57" s="125"/>
      <c r="W57" s="125"/>
      <c r="X57" s="125"/>
      <c r="Y57" s="125"/>
      <c r="Z57" s="125"/>
      <c r="AA57" s="125"/>
      <c r="AB57" s="125"/>
      <c r="AC57" s="125"/>
      <c r="AD57" s="125"/>
      <c r="AE57" s="125"/>
      <c r="AF57" s="125"/>
      <c r="AG57" s="125"/>
      <c r="AH57" s="125"/>
      <c r="AI57" s="125"/>
      <c r="AJ57" s="125"/>
      <c r="AK57" s="125"/>
      <c r="AL57" s="125"/>
      <c r="AM57" s="125"/>
      <c r="AN57" s="125"/>
      <c r="AO57" s="125"/>
      <c r="AP57" s="125"/>
      <c r="AQ57" s="125"/>
      <c r="AR57" s="125"/>
      <c r="AS57" s="125"/>
      <c r="AT57" s="125"/>
      <c r="AU57" s="125"/>
      <c r="AV57" s="125"/>
      <c r="AW57" s="125"/>
      <c r="AX57" s="125"/>
      <c r="AY57" s="125"/>
      <c r="AZ57" s="125"/>
      <c r="BA57" s="125"/>
      <c r="BB57" s="125"/>
      <c r="BC57" s="125"/>
      <c r="BD57" s="125"/>
      <c r="BE57" s="125"/>
      <c r="BF57" s="125"/>
      <c r="BG57" s="125"/>
      <c r="BH57" s="125"/>
      <c r="BI57" s="125"/>
      <c r="BJ57" s="125"/>
      <c r="BK57" s="125"/>
      <c r="BL57" s="125"/>
      <c r="BM57" s="125"/>
      <c r="BN57" s="125"/>
      <c r="BO57" s="125"/>
      <c r="BP57" s="125"/>
      <c r="BQ57" s="125"/>
      <c r="BR57" s="125"/>
      <c r="BS57" s="125"/>
      <c r="BT57" s="125"/>
      <c r="BU57" s="125"/>
      <c r="BV57" s="125"/>
      <c r="BW57" s="125"/>
      <c r="BX57" s="125"/>
      <c r="BY57" s="125"/>
      <c r="BZ57" s="125"/>
      <c r="CA57" s="125"/>
      <c r="CB57" s="125"/>
      <c r="CC57" s="125"/>
      <c r="CD57" s="125"/>
      <c r="CE57" s="125"/>
      <c r="CF57" s="125"/>
      <c r="CG57" s="125"/>
      <c r="CH57" s="125"/>
      <c r="CI57" s="125"/>
      <c r="CJ57" s="125"/>
      <c r="CK57" s="125"/>
      <c r="CL57" s="125"/>
      <c r="CM57" s="125"/>
      <c r="CN57" s="125"/>
      <c r="CO57" s="125"/>
      <c r="CP57" s="125"/>
      <c r="CQ57" s="125"/>
      <c r="CR57" s="125"/>
      <c r="CS57" s="125"/>
      <c r="CT57" s="125"/>
      <c r="CU57" s="125"/>
      <c r="CV57" s="125"/>
      <c r="CW57" s="125"/>
      <c r="CX57" s="125"/>
      <c r="CY57" s="125"/>
      <c r="CZ57" s="125"/>
      <c r="DA57" s="125"/>
      <c r="DB57" s="125"/>
      <c r="DC57" s="125"/>
      <c r="DD57" s="125"/>
      <c r="DE57" s="125"/>
      <c r="DF57" s="125"/>
      <c r="DG57" s="125"/>
      <c r="DH57" s="125"/>
      <c r="DI57" s="125"/>
      <c r="DJ57" s="125"/>
      <c r="DK57" s="125"/>
      <c r="DL57" s="125"/>
      <c r="DM57" s="125"/>
      <c r="DN57" s="125"/>
      <c r="DO57" s="125"/>
      <c r="DP57" s="125"/>
      <c r="DQ57" s="125"/>
      <c r="DR57" s="125"/>
      <c r="DS57" s="125"/>
      <c r="DT57" s="125"/>
      <c r="DU57" s="125"/>
      <c r="DV57" s="125"/>
      <c r="DW57" s="125"/>
      <c r="DX57" s="125"/>
      <c r="DY57" s="125"/>
      <c r="DZ57" s="125"/>
      <c r="EA57" s="125"/>
      <c r="EB57" s="125"/>
      <c r="EC57" s="125"/>
      <c r="ED57" s="125"/>
      <c r="EE57" s="125"/>
      <c r="EF57" s="125"/>
      <c r="EG57" s="125"/>
      <c r="EH57" s="125"/>
      <c r="EI57" s="125"/>
      <c r="EJ57" s="125"/>
      <c r="EK57" s="125"/>
      <c r="EL57" s="125"/>
      <c r="EM57" s="125"/>
      <c r="EN57" s="125"/>
      <c r="EO57" s="125"/>
      <c r="EP57" s="125"/>
      <c r="EQ57" s="125"/>
      <c r="ER57" s="125"/>
      <c r="ES57" s="125"/>
      <c r="ET57" s="125"/>
      <c r="EU57" s="125"/>
      <c r="EV57" s="125"/>
      <c r="EW57" s="125"/>
      <c r="EX57" s="125"/>
      <c r="EY57" s="125"/>
      <c r="EZ57" s="125"/>
      <c r="FA57" s="125"/>
      <c r="FB57" s="125"/>
      <c r="FC57" s="125"/>
      <c r="FD57" s="125"/>
      <c r="FE57" s="125"/>
      <c r="FF57" s="125"/>
      <c r="FG57" s="125"/>
      <c r="FH57" s="125"/>
      <c r="FI57" s="125"/>
      <c r="FJ57" s="125"/>
      <c r="FK57" s="125"/>
      <c r="FL57" s="125"/>
      <c r="FM57" s="125"/>
      <c r="FN57" s="125"/>
      <c r="FO57" s="125"/>
      <c r="FP57" s="125"/>
      <c r="FQ57" s="125"/>
      <c r="FR57" s="125"/>
    </row>
    <row r="58" spans="1:174" ht="25.05" customHeight="1" x14ac:dyDescent="0.3">
      <c r="A58" s="166" t="s">
        <v>24</v>
      </c>
      <c r="B58" s="167" t="s">
        <v>45</v>
      </c>
      <c r="C58" s="125">
        <v>9</v>
      </c>
      <c r="D58" s="125"/>
      <c r="E58" s="125"/>
      <c r="F58" s="125"/>
      <c r="G58" s="125"/>
      <c r="H58" s="125"/>
      <c r="I58" s="125"/>
      <c r="J58" s="125"/>
      <c r="K58" s="125"/>
      <c r="L58" s="125"/>
      <c r="M58" s="125"/>
      <c r="N58" s="125"/>
      <c r="O58" s="125"/>
      <c r="P58" s="125"/>
      <c r="Q58" s="125"/>
      <c r="R58" s="125"/>
      <c r="S58" s="125"/>
      <c r="T58" s="125"/>
      <c r="U58" s="125"/>
      <c r="V58" s="125"/>
      <c r="W58" s="125"/>
      <c r="X58" s="125"/>
      <c r="Y58" s="125"/>
      <c r="Z58" s="125"/>
      <c r="AA58" s="125"/>
      <c r="AB58" s="125"/>
      <c r="AC58" s="125"/>
      <c r="AD58" s="125"/>
      <c r="AE58" s="125"/>
      <c r="AF58" s="125"/>
      <c r="AG58" s="125"/>
      <c r="AH58" s="125"/>
      <c r="AI58" s="125"/>
      <c r="AJ58" s="125"/>
      <c r="AK58" s="125"/>
      <c r="AL58" s="125"/>
      <c r="AM58" s="125"/>
      <c r="AN58" s="125"/>
      <c r="AO58" s="125"/>
      <c r="AP58" s="125"/>
      <c r="AQ58" s="125"/>
      <c r="AR58" s="125"/>
      <c r="AS58" s="125"/>
      <c r="AT58" s="125"/>
      <c r="AU58" s="125"/>
      <c r="AV58" s="125"/>
      <c r="AW58" s="125"/>
      <c r="AX58" s="125"/>
      <c r="AY58" s="125"/>
      <c r="AZ58" s="125"/>
      <c r="BA58" s="125"/>
      <c r="BB58" s="125"/>
      <c r="BC58" s="125"/>
      <c r="BD58" s="125"/>
      <c r="BE58" s="125"/>
      <c r="BF58" s="125"/>
      <c r="BG58" s="125"/>
      <c r="BH58" s="125"/>
      <c r="BI58" s="125"/>
      <c r="BJ58" s="125"/>
      <c r="BK58" s="125"/>
      <c r="BL58" s="125"/>
      <c r="BM58" s="125"/>
      <c r="BN58" s="125"/>
      <c r="BO58" s="125"/>
      <c r="BP58" s="125"/>
      <c r="BQ58" s="125"/>
      <c r="BR58" s="125"/>
      <c r="BS58" s="125"/>
      <c r="BT58" s="125"/>
      <c r="BU58" s="125"/>
      <c r="BV58" s="125"/>
      <c r="BW58" s="125"/>
      <c r="BX58" s="125"/>
      <c r="BY58" s="125"/>
      <c r="BZ58" s="125"/>
      <c r="CA58" s="125"/>
      <c r="CB58" s="125"/>
      <c r="CC58" s="125"/>
      <c r="CD58" s="125"/>
      <c r="CE58" s="125"/>
      <c r="CF58" s="125"/>
      <c r="CG58" s="125"/>
      <c r="CH58" s="125"/>
      <c r="CI58" s="125"/>
      <c r="CJ58" s="125"/>
      <c r="CK58" s="125"/>
      <c r="CL58" s="125"/>
      <c r="CM58" s="125"/>
      <c r="CN58" s="125"/>
      <c r="CO58" s="125"/>
      <c r="CP58" s="125"/>
      <c r="CQ58" s="125"/>
      <c r="CR58" s="125"/>
      <c r="CS58" s="125"/>
      <c r="CT58" s="125"/>
      <c r="CU58" s="125"/>
      <c r="CV58" s="125"/>
      <c r="CW58" s="125"/>
      <c r="CX58" s="125"/>
      <c r="CY58" s="125"/>
      <c r="CZ58" s="125"/>
      <c r="DA58" s="125"/>
      <c r="DB58" s="125"/>
      <c r="DC58" s="125"/>
      <c r="DD58" s="125"/>
      <c r="DE58" s="125"/>
      <c r="DF58" s="125"/>
      <c r="DG58" s="125"/>
      <c r="DH58" s="125"/>
      <c r="DI58" s="125"/>
      <c r="DJ58" s="125"/>
      <c r="DK58" s="125"/>
      <c r="DL58" s="125"/>
      <c r="DM58" s="125"/>
      <c r="DN58" s="125"/>
      <c r="DO58" s="125"/>
      <c r="DP58" s="125"/>
      <c r="DQ58" s="125"/>
      <c r="DR58" s="125"/>
      <c r="DS58" s="125"/>
      <c r="DT58" s="125"/>
      <c r="DU58" s="125"/>
      <c r="DV58" s="125"/>
      <c r="DW58" s="125"/>
      <c r="DX58" s="125"/>
      <c r="DY58" s="125"/>
      <c r="DZ58" s="125"/>
      <c r="EA58" s="125"/>
      <c r="EB58" s="125"/>
      <c r="EC58" s="125"/>
      <c r="ED58" s="125"/>
      <c r="EE58" s="125"/>
      <c r="EF58" s="125"/>
      <c r="EG58" s="125"/>
      <c r="EH58" s="125"/>
      <c r="EI58" s="125"/>
      <c r="EJ58" s="125"/>
      <c r="EK58" s="125"/>
      <c r="EL58" s="125"/>
      <c r="EM58" s="125"/>
      <c r="EN58" s="125"/>
      <c r="EO58" s="125"/>
      <c r="EP58" s="125"/>
      <c r="EQ58" s="125"/>
      <c r="ER58" s="125"/>
      <c r="ES58" s="125"/>
      <c r="ET58" s="125"/>
      <c r="EU58" s="125"/>
      <c r="EV58" s="125"/>
      <c r="EW58" s="125"/>
      <c r="EX58" s="125"/>
      <c r="EY58" s="125"/>
      <c r="EZ58" s="125"/>
      <c r="FA58" s="125"/>
      <c r="FB58" s="125"/>
      <c r="FC58" s="125"/>
      <c r="FD58" s="125"/>
      <c r="FE58" s="125"/>
      <c r="FF58" s="125"/>
      <c r="FG58" s="125"/>
      <c r="FH58" s="125"/>
      <c r="FI58" s="125"/>
      <c r="FJ58" s="125"/>
      <c r="FK58" s="125"/>
      <c r="FL58" s="125"/>
      <c r="FM58" s="125"/>
      <c r="FN58" s="125"/>
      <c r="FO58" s="125"/>
      <c r="FP58" s="125"/>
      <c r="FQ58" s="125"/>
      <c r="FR58" s="125"/>
    </row>
    <row r="59" spans="1:174" ht="25.05" customHeight="1" x14ac:dyDescent="0.3">
      <c r="A59" s="166" t="s">
        <v>26</v>
      </c>
      <c r="B59" s="167" t="s">
        <v>46</v>
      </c>
      <c r="C59" s="125">
        <v>9</v>
      </c>
      <c r="D59" s="125"/>
      <c r="E59" s="125"/>
      <c r="F59" s="125"/>
      <c r="G59" s="125"/>
      <c r="H59" s="125"/>
      <c r="I59" s="125"/>
      <c r="J59" s="125"/>
      <c r="K59" s="125"/>
      <c r="L59" s="125"/>
      <c r="M59" s="125"/>
      <c r="N59" s="125"/>
      <c r="O59" s="125"/>
      <c r="P59" s="125"/>
      <c r="Q59" s="125"/>
      <c r="R59" s="125"/>
      <c r="S59" s="125"/>
      <c r="T59" s="125"/>
      <c r="U59" s="125"/>
      <c r="V59" s="125"/>
      <c r="W59" s="125"/>
      <c r="X59" s="125"/>
      <c r="Y59" s="125"/>
      <c r="Z59" s="125"/>
      <c r="AA59" s="125"/>
      <c r="AB59" s="125"/>
      <c r="AC59" s="125"/>
      <c r="AD59" s="125"/>
      <c r="AE59" s="125"/>
      <c r="AF59" s="125"/>
      <c r="AG59" s="125"/>
      <c r="AH59" s="125"/>
      <c r="AI59" s="125"/>
      <c r="AJ59" s="125"/>
      <c r="AK59" s="125"/>
      <c r="AL59" s="125"/>
      <c r="AM59" s="125"/>
      <c r="AN59" s="125"/>
      <c r="AO59" s="125"/>
      <c r="AP59" s="125"/>
      <c r="AQ59" s="125"/>
      <c r="AR59" s="125"/>
      <c r="AS59" s="125"/>
      <c r="AT59" s="125"/>
      <c r="AU59" s="125"/>
      <c r="AV59" s="125"/>
      <c r="AW59" s="125"/>
      <c r="AX59" s="125"/>
      <c r="AY59" s="125"/>
      <c r="AZ59" s="125"/>
      <c r="BA59" s="125"/>
      <c r="BB59" s="125"/>
      <c r="BC59" s="125"/>
      <c r="BD59" s="125"/>
      <c r="BE59" s="125"/>
      <c r="BF59" s="125"/>
      <c r="BG59" s="125"/>
      <c r="BH59" s="125"/>
      <c r="BI59" s="125"/>
      <c r="BJ59" s="125"/>
      <c r="BK59" s="125"/>
      <c r="BL59" s="125"/>
      <c r="BM59" s="125"/>
      <c r="BN59" s="125"/>
      <c r="BO59" s="125"/>
      <c r="BP59" s="125"/>
      <c r="BQ59" s="125"/>
      <c r="BR59" s="125"/>
      <c r="BS59" s="125"/>
      <c r="BT59" s="125"/>
      <c r="BU59" s="125"/>
      <c r="BV59" s="125"/>
      <c r="BW59" s="125"/>
      <c r="BX59" s="125"/>
      <c r="BY59" s="125"/>
      <c r="BZ59" s="125"/>
      <c r="CA59" s="125"/>
      <c r="CB59" s="125"/>
      <c r="CC59" s="125"/>
      <c r="CD59" s="125"/>
      <c r="CE59" s="125"/>
      <c r="CF59" s="125"/>
      <c r="CG59" s="125"/>
      <c r="CH59" s="125"/>
      <c r="CI59" s="125"/>
      <c r="CJ59" s="125"/>
      <c r="CK59" s="125"/>
      <c r="CL59" s="125"/>
      <c r="CM59" s="125"/>
      <c r="CN59" s="125"/>
      <c r="CO59" s="125"/>
      <c r="CP59" s="125"/>
      <c r="CQ59" s="125"/>
      <c r="CR59" s="125"/>
      <c r="CS59" s="125"/>
      <c r="CT59" s="125"/>
      <c r="CU59" s="125"/>
      <c r="CV59" s="125"/>
      <c r="CW59" s="125"/>
      <c r="CX59" s="125"/>
      <c r="CY59" s="125"/>
      <c r="CZ59" s="125"/>
      <c r="DA59" s="125"/>
      <c r="DB59" s="125"/>
      <c r="DC59" s="125"/>
      <c r="DD59" s="125"/>
      <c r="DE59" s="125"/>
      <c r="DF59" s="125"/>
      <c r="DG59" s="125"/>
      <c r="DH59" s="125"/>
      <c r="DI59" s="125"/>
      <c r="DJ59" s="125"/>
      <c r="DK59" s="125"/>
      <c r="DL59" s="125"/>
      <c r="DM59" s="125"/>
      <c r="DN59" s="125"/>
      <c r="DO59" s="125"/>
      <c r="DP59" s="125"/>
      <c r="DQ59" s="125"/>
      <c r="DR59" s="125"/>
      <c r="DS59" s="125"/>
      <c r="DT59" s="125"/>
      <c r="DU59" s="125"/>
      <c r="DV59" s="125"/>
      <c r="DW59" s="125"/>
      <c r="DX59" s="125"/>
      <c r="DY59" s="125"/>
      <c r="DZ59" s="125"/>
      <c r="EA59" s="125"/>
      <c r="EB59" s="125"/>
      <c r="EC59" s="125"/>
      <c r="ED59" s="125"/>
      <c r="EE59" s="125"/>
      <c r="EF59" s="125"/>
      <c r="EG59" s="125"/>
      <c r="EH59" s="125"/>
      <c r="EI59" s="125"/>
      <c r="EJ59" s="125"/>
      <c r="EK59" s="125"/>
      <c r="EL59" s="125"/>
      <c r="EM59" s="125"/>
      <c r="EN59" s="125"/>
      <c r="EO59" s="125"/>
      <c r="EP59" s="125"/>
      <c r="EQ59" s="125"/>
      <c r="ER59" s="125"/>
      <c r="ES59" s="125"/>
      <c r="ET59" s="125"/>
      <c r="EU59" s="125"/>
      <c r="EV59" s="125"/>
      <c r="EW59" s="125"/>
      <c r="EX59" s="125"/>
      <c r="EY59" s="125"/>
      <c r="EZ59" s="125"/>
      <c r="FA59" s="125"/>
      <c r="FB59" s="125"/>
      <c r="FC59" s="125"/>
      <c r="FD59" s="125"/>
      <c r="FE59" s="125"/>
      <c r="FF59" s="125"/>
      <c r="FG59" s="125"/>
      <c r="FH59" s="125"/>
      <c r="FI59" s="125"/>
      <c r="FJ59" s="125"/>
      <c r="FK59" s="125"/>
      <c r="FL59" s="125"/>
      <c r="FM59" s="125"/>
      <c r="FN59" s="125"/>
      <c r="FO59" s="125"/>
      <c r="FP59" s="125"/>
      <c r="FQ59" s="125"/>
      <c r="FR59" s="125"/>
    </row>
    <row r="60" spans="1:174" ht="15" customHeight="1" x14ac:dyDescent="0.3">
      <c r="A60" s="168"/>
      <c r="B60" s="174" t="s">
        <v>32</v>
      </c>
      <c r="C60" s="176">
        <f>SUM(C57:C59)</f>
        <v>27</v>
      </c>
      <c r="D60" s="176">
        <f t="shared" ref="D60:BO60" si="44">SUM(D57:D59)</f>
        <v>0</v>
      </c>
      <c r="E60" s="176">
        <f t="shared" si="44"/>
        <v>0</v>
      </c>
      <c r="F60" s="176">
        <f t="shared" si="44"/>
        <v>0</v>
      </c>
      <c r="G60" s="176">
        <f t="shared" si="44"/>
        <v>0</v>
      </c>
      <c r="H60" s="176">
        <f t="shared" si="44"/>
        <v>0</v>
      </c>
      <c r="I60" s="176">
        <f t="shared" si="44"/>
        <v>0</v>
      </c>
      <c r="J60" s="176">
        <f t="shared" si="44"/>
        <v>0</v>
      </c>
      <c r="K60" s="176">
        <f t="shared" si="44"/>
        <v>0</v>
      </c>
      <c r="L60" s="176">
        <f t="shared" si="44"/>
        <v>0</v>
      </c>
      <c r="M60" s="176">
        <f t="shared" si="44"/>
        <v>0</v>
      </c>
      <c r="N60" s="176">
        <f t="shared" si="44"/>
        <v>0</v>
      </c>
      <c r="O60" s="176">
        <f t="shared" si="44"/>
        <v>0</v>
      </c>
      <c r="P60" s="176">
        <f t="shared" si="44"/>
        <v>0</v>
      </c>
      <c r="Q60" s="176">
        <f t="shared" si="44"/>
        <v>0</v>
      </c>
      <c r="R60" s="176">
        <f t="shared" si="44"/>
        <v>0</v>
      </c>
      <c r="S60" s="176">
        <f t="shared" si="44"/>
        <v>0</v>
      </c>
      <c r="T60" s="176">
        <f t="shared" si="44"/>
        <v>0</v>
      </c>
      <c r="U60" s="176">
        <f t="shared" si="44"/>
        <v>0</v>
      </c>
      <c r="V60" s="176">
        <f t="shared" si="44"/>
        <v>0</v>
      </c>
      <c r="W60" s="176">
        <f t="shared" si="44"/>
        <v>0</v>
      </c>
      <c r="X60" s="176">
        <f t="shared" si="44"/>
        <v>0</v>
      </c>
      <c r="Y60" s="176">
        <f t="shared" si="44"/>
        <v>0</v>
      </c>
      <c r="Z60" s="176">
        <f t="shared" si="44"/>
        <v>0</v>
      </c>
      <c r="AA60" s="176">
        <f t="shared" si="44"/>
        <v>0</v>
      </c>
      <c r="AB60" s="176">
        <f t="shared" si="44"/>
        <v>0</v>
      </c>
      <c r="AC60" s="176">
        <f t="shared" si="44"/>
        <v>0</v>
      </c>
      <c r="AD60" s="176">
        <f t="shared" si="44"/>
        <v>0</v>
      </c>
      <c r="AE60" s="176">
        <f t="shared" si="44"/>
        <v>0</v>
      </c>
      <c r="AF60" s="176">
        <f t="shared" si="44"/>
        <v>0</v>
      </c>
      <c r="AG60" s="176">
        <f t="shared" si="44"/>
        <v>0</v>
      </c>
      <c r="AH60" s="176">
        <f t="shared" si="44"/>
        <v>0</v>
      </c>
      <c r="AI60" s="176">
        <f t="shared" si="44"/>
        <v>0</v>
      </c>
      <c r="AJ60" s="176">
        <f t="shared" si="44"/>
        <v>0</v>
      </c>
      <c r="AK60" s="176">
        <f t="shared" si="44"/>
        <v>0</v>
      </c>
      <c r="AL60" s="176">
        <f t="shared" si="44"/>
        <v>0</v>
      </c>
      <c r="AM60" s="176">
        <f t="shared" si="44"/>
        <v>0</v>
      </c>
      <c r="AN60" s="176">
        <f t="shared" si="44"/>
        <v>0</v>
      </c>
      <c r="AO60" s="176">
        <f t="shared" si="44"/>
        <v>0</v>
      </c>
      <c r="AP60" s="176">
        <f t="shared" si="44"/>
        <v>0</v>
      </c>
      <c r="AQ60" s="176">
        <f t="shared" si="44"/>
        <v>0</v>
      </c>
      <c r="AR60" s="176">
        <f t="shared" si="44"/>
        <v>0</v>
      </c>
      <c r="AS60" s="176">
        <f t="shared" si="44"/>
        <v>0</v>
      </c>
      <c r="AT60" s="176">
        <f t="shared" si="44"/>
        <v>0</v>
      </c>
      <c r="AU60" s="176">
        <f t="shared" si="44"/>
        <v>0</v>
      </c>
      <c r="AV60" s="176">
        <f t="shared" si="44"/>
        <v>0</v>
      </c>
      <c r="AW60" s="176">
        <f t="shared" si="44"/>
        <v>0</v>
      </c>
      <c r="AX60" s="176">
        <f t="shared" si="44"/>
        <v>0</v>
      </c>
      <c r="AY60" s="176">
        <f t="shared" si="44"/>
        <v>0</v>
      </c>
      <c r="AZ60" s="176">
        <f t="shared" si="44"/>
        <v>0</v>
      </c>
      <c r="BA60" s="176">
        <f t="shared" si="44"/>
        <v>0</v>
      </c>
      <c r="BB60" s="176">
        <f t="shared" si="44"/>
        <v>0</v>
      </c>
      <c r="BC60" s="176">
        <f t="shared" si="44"/>
        <v>0</v>
      </c>
      <c r="BD60" s="176">
        <f t="shared" si="44"/>
        <v>0</v>
      </c>
      <c r="BE60" s="176">
        <f t="shared" si="44"/>
        <v>0</v>
      </c>
      <c r="BF60" s="176">
        <f t="shared" si="44"/>
        <v>0</v>
      </c>
      <c r="BG60" s="176">
        <f t="shared" si="44"/>
        <v>0</v>
      </c>
      <c r="BH60" s="176">
        <f t="shared" si="44"/>
        <v>0</v>
      </c>
      <c r="BI60" s="176">
        <f t="shared" si="44"/>
        <v>0</v>
      </c>
      <c r="BJ60" s="176">
        <f t="shared" si="44"/>
        <v>0</v>
      </c>
      <c r="BK60" s="176">
        <f t="shared" si="44"/>
        <v>0</v>
      </c>
      <c r="BL60" s="176">
        <f t="shared" si="44"/>
        <v>0</v>
      </c>
      <c r="BM60" s="176">
        <f t="shared" si="44"/>
        <v>0</v>
      </c>
      <c r="BN60" s="176">
        <f t="shared" si="44"/>
        <v>0</v>
      </c>
      <c r="BO60" s="176">
        <f t="shared" si="44"/>
        <v>0</v>
      </c>
      <c r="BP60" s="176">
        <f t="shared" ref="BP60:EA60" si="45">SUM(BP57:BP59)</f>
        <v>0</v>
      </c>
      <c r="BQ60" s="176">
        <f t="shared" si="45"/>
        <v>0</v>
      </c>
      <c r="BR60" s="176">
        <f t="shared" si="45"/>
        <v>0</v>
      </c>
      <c r="BS60" s="176">
        <f t="shared" si="45"/>
        <v>0</v>
      </c>
      <c r="BT60" s="176">
        <f t="shared" si="45"/>
        <v>0</v>
      </c>
      <c r="BU60" s="176">
        <f t="shared" si="45"/>
        <v>0</v>
      </c>
      <c r="BV60" s="176">
        <f t="shared" si="45"/>
        <v>0</v>
      </c>
      <c r="BW60" s="176">
        <f t="shared" si="45"/>
        <v>0</v>
      </c>
      <c r="BX60" s="176">
        <f t="shared" si="45"/>
        <v>0</v>
      </c>
      <c r="BY60" s="176">
        <f t="shared" si="45"/>
        <v>0</v>
      </c>
      <c r="BZ60" s="176">
        <f t="shared" si="45"/>
        <v>0</v>
      </c>
      <c r="CA60" s="176">
        <f t="shared" si="45"/>
        <v>0</v>
      </c>
      <c r="CB60" s="176">
        <f t="shared" si="45"/>
        <v>0</v>
      </c>
      <c r="CC60" s="176">
        <f t="shared" si="45"/>
        <v>0</v>
      </c>
      <c r="CD60" s="176">
        <f t="shared" si="45"/>
        <v>0</v>
      </c>
      <c r="CE60" s="176">
        <f t="shared" si="45"/>
        <v>0</v>
      </c>
      <c r="CF60" s="176">
        <f t="shared" si="45"/>
        <v>0</v>
      </c>
      <c r="CG60" s="176">
        <f t="shared" si="45"/>
        <v>0</v>
      </c>
      <c r="CH60" s="176">
        <f t="shared" si="45"/>
        <v>0</v>
      </c>
      <c r="CI60" s="176">
        <f t="shared" si="45"/>
        <v>0</v>
      </c>
      <c r="CJ60" s="176">
        <f t="shared" si="45"/>
        <v>0</v>
      </c>
      <c r="CK60" s="176">
        <f t="shared" si="45"/>
        <v>0</v>
      </c>
      <c r="CL60" s="176">
        <f t="shared" si="45"/>
        <v>0</v>
      </c>
      <c r="CM60" s="176">
        <f t="shared" si="45"/>
        <v>0</v>
      </c>
      <c r="CN60" s="176">
        <f t="shared" si="45"/>
        <v>0</v>
      </c>
      <c r="CO60" s="176">
        <f t="shared" si="45"/>
        <v>0</v>
      </c>
      <c r="CP60" s="176">
        <f t="shared" si="45"/>
        <v>0</v>
      </c>
      <c r="CQ60" s="176">
        <f t="shared" si="45"/>
        <v>0</v>
      </c>
      <c r="CR60" s="176">
        <f t="shared" si="45"/>
        <v>0</v>
      </c>
      <c r="CS60" s="176">
        <f t="shared" si="45"/>
        <v>0</v>
      </c>
      <c r="CT60" s="176">
        <f t="shared" si="45"/>
        <v>0</v>
      </c>
      <c r="CU60" s="176">
        <f t="shared" si="45"/>
        <v>0</v>
      </c>
      <c r="CV60" s="176">
        <f t="shared" si="45"/>
        <v>0</v>
      </c>
      <c r="CW60" s="176">
        <f t="shared" si="45"/>
        <v>0</v>
      </c>
      <c r="CX60" s="176">
        <f t="shared" si="45"/>
        <v>0</v>
      </c>
      <c r="CY60" s="176">
        <f t="shared" si="45"/>
        <v>0</v>
      </c>
      <c r="CZ60" s="176">
        <f t="shared" si="45"/>
        <v>0</v>
      </c>
      <c r="DA60" s="176">
        <f t="shared" si="45"/>
        <v>0</v>
      </c>
      <c r="DB60" s="176">
        <f t="shared" si="45"/>
        <v>0</v>
      </c>
      <c r="DC60" s="176">
        <f t="shared" si="45"/>
        <v>0</v>
      </c>
      <c r="DD60" s="176">
        <f t="shared" si="45"/>
        <v>0</v>
      </c>
      <c r="DE60" s="176">
        <f t="shared" si="45"/>
        <v>0</v>
      </c>
      <c r="DF60" s="176">
        <f t="shared" si="45"/>
        <v>0</v>
      </c>
      <c r="DG60" s="176">
        <f t="shared" si="45"/>
        <v>0</v>
      </c>
      <c r="DH60" s="176">
        <f t="shared" si="45"/>
        <v>0</v>
      </c>
      <c r="DI60" s="176">
        <f t="shared" si="45"/>
        <v>0</v>
      </c>
      <c r="DJ60" s="176">
        <f t="shared" si="45"/>
        <v>0</v>
      </c>
      <c r="DK60" s="176">
        <f t="shared" si="45"/>
        <v>0</v>
      </c>
      <c r="DL60" s="176">
        <f t="shared" si="45"/>
        <v>0</v>
      </c>
      <c r="DM60" s="176">
        <f t="shared" si="45"/>
        <v>0</v>
      </c>
      <c r="DN60" s="176">
        <f t="shared" si="45"/>
        <v>0</v>
      </c>
      <c r="DO60" s="176">
        <f t="shared" si="45"/>
        <v>0</v>
      </c>
      <c r="DP60" s="176">
        <f t="shared" si="45"/>
        <v>0</v>
      </c>
      <c r="DQ60" s="176">
        <f t="shared" si="45"/>
        <v>0</v>
      </c>
      <c r="DR60" s="176">
        <f t="shared" si="45"/>
        <v>0</v>
      </c>
      <c r="DS60" s="176">
        <f t="shared" si="45"/>
        <v>0</v>
      </c>
      <c r="DT60" s="176">
        <f t="shared" si="45"/>
        <v>0</v>
      </c>
      <c r="DU60" s="176">
        <f t="shared" si="45"/>
        <v>0</v>
      </c>
      <c r="DV60" s="176">
        <f t="shared" si="45"/>
        <v>0</v>
      </c>
      <c r="DW60" s="176">
        <f t="shared" si="45"/>
        <v>0</v>
      </c>
      <c r="DX60" s="176">
        <f t="shared" si="45"/>
        <v>0</v>
      </c>
      <c r="DY60" s="176">
        <f t="shared" si="45"/>
        <v>0</v>
      </c>
      <c r="DZ60" s="176">
        <f t="shared" si="45"/>
        <v>0</v>
      </c>
      <c r="EA60" s="176">
        <f t="shared" si="45"/>
        <v>0</v>
      </c>
      <c r="EB60" s="176">
        <f t="shared" ref="EB60:FR60" si="46">SUM(EB57:EB59)</f>
        <v>0</v>
      </c>
      <c r="EC60" s="176">
        <f t="shared" si="46"/>
        <v>0</v>
      </c>
      <c r="ED60" s="176">
        <f t="shared" si="46"/>
        <v>0</v>
      </c>
      <c r="EE60" s="176">
        <f t="shared" si="46"/>
        <v>0</v>
      </c>
      <c r="EF60" s="176">
        <f t="shared" si="46"/>
        <v>0</v>
      </c>
      <c r="EG60" s="176">
        <f t="shared" si="46"/>
        <v>0</v>
      </c>
      <c r="EH60" s="176">
        <f t="shared" si="46"/>
        <v>0</v>
      </c>
      <c r="EI60" s="176">
        <f t="shared" si="46"/>
        <v>0</v>
      </c>
      <c r="EJ60" s="176">
        <f t="shared" si="46"/>
        <v>0</v>
      </c>
      <c r="EK60" s="176">
        <f t="shared" si="46"/>
        <v>0</v>
      </c>
      <c r="EL60" s="176">
        <f t="shared" si="46"/>
        <v>0</v>
      </c>
      <c r="EM60" s="176">
        <f t="shared" si="46"/>
        <v>0</v>
      </c>
      <c r="EN60" s="176">
        <f t="shared" si="46"/>
        <v>0</v>
      </c>
      <c r="EO60" s="176">
        <f t="shared" si="46"/>
        <v>0</v>
      </c>
      <c r="EP60" s="176">
        <f t="shared" si="46"/>
        <v>0</v>
      </c>
      <c r="EQ60" s="176">
        <f t="shared" si="46"/>
        <v>0</v>
      </c>
      <c r="ER60" s="176">
        <f t="shared" si="46"/>
        <v>0</v>
      </c>
      <c r="ES60" s="176">
        <f t="shared" si="46"/>
        <v>0</v>
      </c>
      <c r="ET60" s="176">
        <f t="shared" si="46"/>
        <v>0</v>
      </c>
      <c r="EU60" s="176">
        <f t="shared" si="46"/>
        <v>0</v>
      </c>
      <c r="EV60" s="176">
        <f t="shared" si="46"/>
        <v>0</v>
      </c>
      <c r="EW60" s="176">
        <f t="shared" si="46"/>
        <v>0</v>
      </c>
      <c r="EX60" s="176">
        <f t="shared" si="46"/>
        <v>0</v>
      </c>
      <c r="EY60" s="176">
        <f t="shared" si="46"/>
        <v>0</v>
      </c>
      <c r="EZ60" s="176">
        <f t="shared" si="46"/>
        <v>0</v>
      </c>
      <c r="FA60" s="176">
        <f t="shared" si="46"/>
        <v>0</v>
      </c>
      <c r="FB60" s="176">
        <f t="shared" si="46"/>
        <v>0</v>
      </c>
      <c r="FC60" s="176">
        <f t="shared" si="46"/>
        <v>0</v>
      </c>
      <c r="FD60" s="176">
        <f t="shared" si="46"/>
        <v>0</v>
      </c>
      <c r="FE60" s="176">
        <f t="shared" si="46"/>
        <v>0</v>
      </c>
      <c r="FF60" s="176">
        <f t="shared" si="46"/>
        <v>0</v>
      </c>
      <c r="FG60" s="176">
        <f t="shared" si="46"/>
        <v>0</v>
      </c>
      <c r="FH60" s="176">
        <f t="shared" si="46"/>
        <v>0</v>
      </c>
      <c r="FI60" s="176">
        <f t="shared" si="46"/>
        <v>0</v>
      </c>
      <c r="FJ60" s="176">
        <f t="shared" si="46"/>
        <v>0</v>
      </c>
      <c r="FK60" s="176">
        <f t="shared" si="46"/>
        <v>0</v>
      </c>
      <c r="FL60" s="176">
        <f t="shared" si="46"/>
        <v>0</v>
      </c>
      <c r="FM60" s="176">
        <f t="shared" si="46"/>
        <v>0</v>
      </c>
      <c r="FN60" s="176">
        <f t="shared" si="46"/>
        <v>0</v>
      </c>
      <c r="FO60" s="176">
        <f t="shared" si="46"/>
        <v>0</v>
      </c>
      <c r="FP60" s="176">
        <f t="shared" si="46"/>
        <v>0</v>
      </c>
      <c r="FQ60" s="176">
        <f t="shared" si="46"/>
        <v>0</v>
      </c>
      <c r="FR60" s="176">
        <f t="shared" si="46"/>
        <v>0</v>
      </c>
    </row>
    <row r="61" spans="1:174" ht="15" customHeight="1" thickBot="1" x14ac:dyDescent="0.35">
      <c r="A61" s="170"/>
      <c r="B61" s="171" t="s">
        <v>33</v>
      </c>
      <c r="C61" s="177">
        <f>C60/3</f>
        <v>9</v>
      </c>
      <c r="D61" s="177">
        <f t="shared" ref="D61:BO61" si="47">D60/3</f>
        <v>0</v>
      </c>
      <c r="E61" s="177">
        <f t="shared" si="47"/>
        <v>0</v>
      </c>
      <c r="F61" s="177">
        <f t="shared" si="47"/>
        <v>0</v>
      </c>
      <c r="G61" s="177">
        <f t="shared" si="47"/>
        <v>0</v>
      </c>
      <c r="H61" s="177">
        <f t="shared" si="47"/>
        <v>0</v>
      </c>
      <c r="I61" s="177">
        <f t="shared" si="47"/>
        <v>0</v>
      </c>
      <c r="J61" s="177">
        <f t="shared" si="47"/>
        <v>0</v>
      </c>
      <c r="K61" s="177">
        <f t="shared" si="47"/>
        <v>0</v>
      </c>
      <c r="L61" s="177">
        <f t="shared" si="47"/>
        <v>0</v>
      </c>
      <c r="M61" s="177">
        <f t="shared" si="47"/>
        <v>0</v>
      </c>
      <c r="N61" s="177">
        <f t="shared" si="47"/>
        <v>0</v>
      </c>
      <c r="O61" s="177">
        <f t="shared" si="47"/>
        <v>0</v>
      </c>
      <c r="P61" s="177">
        <f t="shared" si="47"/>
        <v>0</v>
      </c>
      <c r="Q61" s="177">
        <f t="shared" si="47"/>
        <v>0</v>
      </c>
      <c r="R61" s="177">
        <f t="shared" si="47"/>
        <v>0</v>
      </c>
      <c r="S61" s="177">
        <f t="shared" si="47"/>
        <v>0</v>
      </c>
      <c r="T61" s="177">
        <f t="shared" si="47"/>
        <v>0</v>
      </c>
      <c r="U61" s="177">
        <f t="shared" si="47"/>
        <v>0</v>
      </c>
      <c r="V61" s="177">
        <f t="shared" si="47"/>
        <v>0</v>
      </c>
      <c r="W61" s="177">
        <f t="shared" si="47"/>
        <v>0</v>
      </c>
      <c r="X61" s="177">
        <f t="shared" si="47"/>
        <v>0</v>
      </c>
      <c r="Y61" s="177">
        <f t="shared" si="47"/>
        <v>0</v>
      </c>
      <c r="Z61" s="177">
        <f t="shared" si="47"/>
        <v>0</v>
      </c>
      <c r="AA61" s="177">
        <f t="shared" si="47"/>
        <v>0</v>
      </c>
      <c r="AB61" s="177">
        <f t="shared" si="47"/>
        <v>0</v>
      </c>
      <c r="AC61" s="177">
        <f t="shared" si="47"/>
        <v>0</v>
      </c>
      <c r="AD61" s="177">
        <f t="shared" si="47"/>
        <v>0</v>
      </c>
      <c r="AE61" s="177">
        <f t="shared" si="47"/>
        <v>0</v>
      </c>
      <c r="AF61" s="177">
        <f t="shared" si="47"/>
        <v>0</v>
      </c>
      <c r="AG61" s="177">
        <f t="shared" si="47"/>
        <v>0</v>
      </c>
      <c r="AH61" s="177">
        <f t="shared" si="47"/>
        <v>0</v>
      </c>
      <c r="AI61" s="177">
        <f t="shared" si="47"/>
        <v>0</v>
      </c>
      <c r="AJ61" s="177">
        <f t="shared" si="47"/>
        <v>0</v>
      </c>
      <c r="AK61" s="177">
        <f t="shared" si="47"/>
        <v>0</v>
      </c>
      <c r="AL61" s="177">
        <f t="shared" si="47"/>
        <v>0</v>
      </c>
      <c r="AM61" s="177">
        <f t="shared" si="47"/>
        <v>0</v>
      </c>
      <c r="AN61" s="177">
        <f t="shared" si="47"/>
        <v>0</v>
      </c>
      <c r="AO61" s="177">
        <f t="shared" si="47"/>
        <v>0</v>
      </c>
      <c r="AP61" s="177">
        <f t="shared" si="47"/>
        <v>0</v>
      </c>
      <c r="AQ61" s="177">
        <f t="shared" si="47"/>
        <v>0</v>
      </c>
      <c r="AR61" s="177">
        <f t="shared" si="47"/>
        <v>0</v>
      </c>
      <c r="AS61" s="177">
        <f t="shared" si="47"/>
        <v>0</v>
      </c>
      <c r="AT61" s="177">
        <f t="shared" si="47"/>
        <v>0</v>
      </c>
      <c r="AU61" s="177">
        <f t="shared" si="47"/>
        <v>0</v>
      </c>
      <c r="AV61" s="177">
        <f t="shared" si="47"/>
        <v>0</v>
      </c>
      <c r="AW61" s="177">
        <f t="shared" si="47"/>
        <v>0</v>
      </c>
      <c r="AX61" s="177">
        <f t="shared" si="47"/>
        <v>0</v>
      </c>
      <c r="AY61" s="177">
        <f t="shared" si="47"/>
        <v>0</v>
      </c>
      <c r="AZ61" s="177">
        <f t="shared" si="47"/>
        <v>0</v>
      </c>
      <c r="BA61" s="177">
        <f t="shared" si="47"/>
        <v>0</v>
      </c>
      <c r="BB61" s="177">
        <f t="shared" si="47"/>
        <v>0</v>
      </c>
      <c r="BC61" s="177">
        <f t="shared" si="47"/>
        <v>0</v>
      </c>
      <c r="BD61" s="177">
        <f t="shared" si="47"/>
        <v>0</v>
      </c>
      <c r="BE61" s="177">
        <f t="shared" si="47"/>
        <v>0</v>
      </c>
      <c r="BF61" s="177">
        <f t="shared" si="47"/>
        <v>0</v>
      </c>
      <c r="BG61" s="177">
        <f t="shared" si="47"/>
        <v>0</v>
      </c>
      <c r="BH61" s="177">
        <f t="shared" si="47"/>
        <v>0</v>
      </c>
      <c r="BI61" s="177">
        <f t="shared" si="47"/>
        <v>0</v>
      </c>
      <c r="BJ61" s="177">
        <f t="shared" si="47"/>
        <v>0</v>
      </c>
      <c r="BK61" s="177">
        <f t="shared" si="47"/>
        <v>0</v>
      </c>
      <c r="BL61" s="177">
        <f t="shared" si="47"/>
        <v>0</v>
      </c>
      <c r="BM61" s="177">
        <f t="shared" si="47"/>
        <v>0</v>
      </c>
      <c r="BN61" s="177">
        <f t="shared" si="47"/>
        <v>0</v>
      </c>
      <c r="BO61" s="177">
        <f t="shared" si="47"/>
        <v>0</v>
      </c>
      <c r="BP61" s="177">
        <f t="shared" ref="BP61:EA61" si="48">BP60/3</f>
        <v>0</v>
      </c>
      <c r="BQ61" s="177">
        <f t="shared" si="48"/>
        <v>0</v>
      </c>
      <c r="BR61" s="177">
        <f t="shared" si="48"/>
        <v>0</v>
      </c>
      <c r="BS61" s="177">
        <f t="shared" si="48"/>
        <v>0</v>
      </c>
      <c r="BT61" s="177">
        <f t="shared" si="48"/>
        <v>0</v>
      </c>
      <c r="BU61" s="177">
        <f t="shared" si="48"/>
        <v>0</v>
      </c>
      <c r="BV61" s="177">
        <f t="shared" si="48"/>
        <v>0</v>
      </c>
      <c r="BW61" s="177">
        <f t="shared" si="48"/>
        <v>0</v>
      </c>
      <c r="BX61" s="177">
        <f t="shared" si="48"/>
        <v>0</v>
      </c>
      <c r="BY61" s="177">
        <f t="shared" si="48"/>
        <v>0</v>
      </c>
      <c r="BZ61" s="177">
        <f t="shared" si="48"/>
        <v>0</v>
      </c>
      <c r="CA61" s="177">
        <f t="shared" si="48"/>
        <v>0</v>
      </c>
      <c r="CB61" s="177">
        <f t="shared" si="48"/>
        <v>0</v>
      </c>
      <c r="CC61" s="177">
        <f t="shared" si="48"/>
        <v>0</v>
      </c>
      <c r="CD61" s="177">
        <f t="shared" si="48"/>
        <v>0</v>
      </c>
      <c r="CE61" s="177">
        <f t="shared" si="48"/>
        <v>0</v>
      </c>
      <c r="CF61" s="177">
        <f t="shared" si="48"/>
        <v>0</v>
      </c>
      <c r="CG61" s="177">
        <f t="shared" si="48"/>
        <v>0</v>
      </c>
      <c r="CH61" s="177">
        <f t="shared" si="48"/>
        <v>0</v>
      </c>
      <c r="CI61" s="177">
        <f t="shared" si="48"/>
        <v>0</v>
      </c>
      <c r="CJ61" s="177">
        <f t="shared" si="48"/>
        <v>0</v>
      </c>
      <c r="CK61" s="177">
        <f t="shared" si="48"/>
        <v>0</v>
      </c>
      <c r="CL61" s="177">
        <f t="shared" si="48"/>
        <v>0</v>
      </c>
      <c r="CM61" s="177">
        <f t="shared" si="48"/>
        <v>0</v>
      </c>
      <c r="CN61" s="177">
        <f t="shared" si="48"/>
        <v>0</v>
      </c>
      <c r="CO61" s="177">
        <f t="shared" si="48"/>
        <v>0</v>
      </c>
      <c r="CP61" s="177">
        <f t="shared" si="48"/>
        <v>0</v>
      </c>
      <c r="CQ61" s="177">
        <f t="shared" si="48"/>
        <v>0</v>
      </c>
      <c r="CR61" s="177">
        <f t="shared" si="48"/>
        <v>0</v>
      </c>
      <c r="CS61" s="177">
        <f t="shared" si="48"/>
        <v>0</v>
      </c>
      <c r="CT61" s="177">
        <f t="shared" si="48"/>
        <v>0</v>
      </c>
      <c r="CU61" s="177">
        <f t="shared" si="48"/>
        <v>0</v>
      </c>
      <c r="CV61" s="177">
        <f t="shared" si="48"/>
        <v>0</v>
      </c>
      <c r="CW61" s="177">
        <f t="shared" si="48"/>
        <v>0</v>
      </c>
      <c r="CX61" s="177">
        <f t="shared" si="48"/>
        <v>0</v>
      </c>
      <c r="CY61" s="177">
        <f t="shared" si="48"/>
        <v>0</v>
      </c>
      <c r="CZ61" s="177">
        <f t="shared" si="48"/>
        <v>0</v>
      </c>
      <c r="DA61" s="177">
        <f t="shared" si="48"/>
        <v>0</v>
      </c>
      <c r="DB61" s="177">
        <f t="shared" si="48"/>
        <v>0</v>
      </c>
      <c r="DC61" s="177">
        <f t="shared" si="48"/>
        <v>0</v>
      </c>
      <c r="DD61" s="177">
        <f t="shared" si="48"/>
        <v>0</v>
      </c>
      <c r="DE61" s="177">
        <f t="shared" si="48"/>
        <v>0</v>
      </c>
      <c r="DF61" s="177">
        <f t="shared" si="48"/>
        <v>0</v>
      </c>
      <c r="DG61" s="177">
        <f t="shared" si="48"/>
        <v>0</v>
      </c>
      <c r="DH61" s="177">
        <f t="shared" si="48"/>
        <v>0</v>
      </c>
      <c r="DI61" s="177">
        <f t="shared" si="48"/>
        <v>0</v>
      </c>
      <c r="DJ61" s="177">
        <f t="shared" si="48"/>
        <v>0</v>
      </c>
      <c r="DK61" s="177">
        <f t="shared" si="48"/>
        <v>0</v>
      </c>
      <c r="DL61" s="177">
        <f t="shared" si="48"/>
        <v>0</v>
      </c>
      <c r="DM61" s="177">
        <f t="shared" si="48"/>
        <v>0</v>
      </c>
      <c r="DN61" s="177">
        <f t="shared" si="48"/>
        <v>0</v>
      </c>
      <c r="DO61" s="177">
        <f t="shared" si="48"/>
        <v>0</v>
      </c>
      <c r="DP61" s="177">
        <f t="shared" si="48"/>
        <v>0</v>
      </c>
      <c r="DQ61" s="177">
        <f t="shared" si="48"/>
        <v>0</v>
      </c>
      <c r="DR61" s="177">
        <f t="shared" si="48"/>
        <v>0</v>
      </c>
      <c r="DS61" s="177">
        <f t="shared" si="48"/>
        <v>0</v>
      </c>
      <c r="DT61" s="177">
        <f t="shared" si="48"/>
        <v>0</v>
      </c>
      <c r="DU61" s="177">
        <f t="shared" si="48"/>
        <v>0</v>
      </c>
      <c r="DV61" s="177">
        <f t="shared" si="48"/>
        <v>0</v>
      </c>
      <c r="DW61" s="177">
        <f t="shared" si="48"/>
        <v>0</v>
      </c>
      <c r="DX61" s="177">
        <f t="shared" si="48"/>
        <v>0</v>
      </c>
      <c r="DY61" s="177">
        <f t="shared" si="48"/>
        <v>0</v>
      </c>
      <c r="DZ61" s="177">
        <f t="shared" si="48"/>
        <v>0</v>
      </c>
      <c r="EA61" s="177">
        <f t="shared" si="48"/>
        <v>0</v>
      </c>
      <c r="EB61" s="177">
        <f t="shared" ref="EB61:FR61" si="49">EB60/3</f>
        <v>0</v>
      </c>
      <c r="EC61" s="177">
        <f t="shared" si="49"/>
        <v>0</v>
      </c>
      <c r="ED61" s="177">
        <f t="shared" si="49"/>
        <v>0</v>
      </c>
      <c r="EE61" s="177">
        <f t="shared" si="49"/>
        <v>0</v>
      </c>
      <c r="EF61" s="177">
        <f t="shared" si="49"/>
        <v>0</v>
      </c>
      <c r="EG61" s="177">
        <f t="shared" si="49"/>
        <v>0</v>
      </c>
      <c r="EH61" s="177">
        <f t="shared" si="49"/>
        <v>0</v>
      </c>
      <c r="EI61" s="177">
        <f t="shared" si="49"/>
        <v>0</v>
      </c>
      <c r="EJ61" s="177">
        <f t="shared" si="49"/>
        <v>0</v>
      </c>
      <c r="EK61" s="177">
        <f t="shared" si="49"/>
        <v>0</v>
      </c>
      <c r="EL61" s="177">
        <f t="shared" si="49"/>
        <v>0</v>
      </c>
      <c r="EM61" s="177">
        <f t="shared" si="49"/>
        <v>0</v>
      </c>
      <c r="EN61" s="177">
        <f t="shared" si="49"/>
        <v>0</v>
      </c>
      <c r="EO61" s="177">
        <f t="shared" si="49"/>
        <v>0</v>
      </c>
      <c r="EP61" s="177">
        <f t="shared" si="49"/>
        <v>0</v>
      </c>
      <c r="EQ61" s="177">
        <f t="shared" si="49"/>
        <v>0</v>
      </c>
      <c r="ER61" s="177">
        <f t="shared" si="49"/>
        <v>0</v>
      </c>
      <c r="ES61" s="177">
        <f t="shared" si="49"/>
        <v>0</v>
      </c>
      <c r="ET61" s="177">
        <f t="shared" si="49"/>
        <v>0</v>
      </c>
      <c r="EU61" s="177">
        <f t="shared" si="49"/>
        <v>0</v>
      </c>
      <c r="EV61" s="177">
        <f t="shared" si="49"/>
        <v>0</v>
      </c>
      <c r="EW61" s="177">
        <f t="shared" si="49"/>
        <v>0</v>
      </c>
      <c r="EX61" s="177">
        <f t="shared" si="49"/>
        <v>0</v>
      </c>
      <c r="EY61" s="177">
        <f t="shared" si="49"/>
        <v>0</v>
      </c>
      <c r="EZ61" s="177">
        <f t="shared" si="49"/>
        <v>0</v>
      </c>
      <c r="FA61" s="177">
        <f t="shared" si="49"/>
        <v>0</v>
      </c>
      <c r="FB61" s="177">
        <f t="shared" si="49"/>
        <v>0</v>
      </c>
      <c r="FC61" s="177">
        <f t="shared" si="49"/>
        <v>0</v>
      </c>
      <c r="FD61" s="177">
        <f t="shared" si="49"/>
        <v>0</v>
      </c>
      <c r="FE61" s="177">
        <f t="shared" si="49"/>
        <v>0</v>
      </c>
      <c r="FF61" s="177">
        <f t="shared" si="49"/>
        <v>0</v>
      </c>
      <c r="FG61" s="177">
        <f t="shared" si="49"/>
        <v>0</v>
      </c>
      <c r="FH61" s="177">
        <f t="shared" si="49"/>
        <v>0</v>
      </c>
      <c r="FI61" s="177">
        <f t="shared" si="49"/>
        <v>0</v>
      </c>
      <c r="FJ61" s="177">
        <f t="shared" si="49"/>
        <v>0</v>
      </c>
      <c r="FK61" s="177">
        <f t="shared" si="49"/>
        <v>0</v>
      </c>
      <c r="FL61" s="177">
        <f t="shared" si="49"/>
        <v>0</v>
      </c>
      <c r="FM61" s="177">
        <f t="shared" si="49"/>
        <v>0</v>
      </c>
      <c r="FN61" s="177">
        <f t="shared" si="49"/>
        <v>0</v>
      </c>
      <c r="FO61" s="177">
        <f t="shared" si="49"/>
        <v>0</v>
      </c>
      <c r="FP61" s="177">
        <f t="shared" si="49"/>
        <v>0</v>
      </c>
      <c r="FQ61" s="177">
        <f t="shared" si="49"/>
        <v>0</v>
      </c>
      <c r="FR61" s="177">
        <f t="shared" si="49"/>
        <v>0</v>
      </c>
    </row>
    <row r="62" spans="1:174" ht="15" customHeight="1" x14ac:dyDescent="0.3">
      <c r="A62" s="126"/>
      <c r="B62" s="172"/>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173"/>
      <c r="AM62" s="173"/>
      <c r="AN62" s="173"/>
      <c r="AO62" s="173"/>
      <c r="AP62" s="173"/>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c r="BP62" s="173"/>
      <c r="BQ62" s="173"/>
      <c r="BR62" s="173"/>
      <c r="BS62" s="173"/>
      <c r="BT62" s="173"/>
      <c r="BU62" s="173"/>
      <c r="BV62" s="173"/>
      <c r="BW62" s="173"/>
      <c r="BX62" s="173"/>
      <c r="BY62" s="173"/>
      <c r="BZ62" s="173"/>
      <c r="CA62" s="173"/>
      <c r="CB62" s="173"/>
      <c r="CC62" s="173"/>
      <c r="CD62" s="173"/>
      <c r="CE62" s="173"/>
      <c r="CF62" s="173"/>
      <c r="CG62" s="173"/>
      <c r="CH62" s="173"/>
      <c r="CI62" s="173"/>
      <c r="CJ62" s="173"/>
      <c r="CK62" s="173"/>
      <c r="CL62" s="173"/>
      <c r="CM62" s="173"/>
      <c r="CN62" s="173"/>
      <c r="CO62" s="173"/>
      <c r="CP62" s="173"/>
      <c r="CQ62" s="173"/>
      <c r="CR62" s="173"/>
      <c r="CS62" s="173"/>
      <c r="CT62" s="173"/>
      <c r="CU62" s="173"/>
      <c r="CV62" s="173"/>
      <c r="CW62" s="173"/>
      <c r="CX62" s="173"/>
      <c r="CY62" s="173"/>
      <c r="CZ62" s="173"/>
      <c r="DA62" s="173"/>
      <c r="DB62" s="173"/>
      <c r="DC62" s="173"/>
      <c r="DD62" s="173"/>
      <c r="DE62" s="173"/>
      <c r="DF62" s="173"/>
      <c r="DG62" s="173"/>
      <c r="DH62" s="173"/>
      <c r="DI62" s="173"/>
      <c r="DJ62" s="173"/>
      <c r="DK62" s="173"/>
      <c r="DL62" s="173"/>
      <c r="DM62" s="173"/>
      <c r="DN62" s="173"/>
      <c r="DO62" s="173"/>
      <c r="DP62" s="173"/>
      <c r="DQ62" s="173"/>
      <c r="DR62" s="173"/>
      <c r="DS62" s="173"/>
      <c r="DT62" s="173"/>
      <c r="DU62" s="173"/>
      <c r="DV62" s="173"/>
      <c r="DW62" s="173"/>
      <c r="DX62" s="173"/>
      <c r="DY62" s="173"/>
      <c r="DZ62" s="173"/>
      <c r="EA62" s="173"/>
      <c r="EB62" s="173"/>
      <c r="EC62" s="173"/>
      <c r="ED62" s="173"/>
      <c r="EE62" s="173"/>
      <c r="EF62" s="173"/>
      <c r="EG62" s="173"/>
      <c r="EH62" s="173"/>
      <c r="EI62" s="173"/>
      <c r="EJ62" s="173"/>
      <c r="EK62" s="173"/>
      <c r="EL62" s="173"/>
      <c r="EM62" s="173"/>
      <c r="EN62" s="173"/>
      <c r="EO62" s="173"/>
      <c r="EP62" s="173"/>
      <c r="EQ62" s="173"/>
      <c r="ER62" s="173"/>
      <c r="ES62" s="173"/>
      <c r="ET62" s="173"/>
      <c r="EU62" s="173"/>
      <c r="EV62" s="173"/>
      <c r="EW62" s="173"/>
      <c r="EX62" s="173"/>
      <c r="EY62" s="173"/>
      <c r="EZ62" s="173"/>
      <c r="FA62" s="173"/>
      <c r="FB62" s="173"/>
      <c r="FC62" s="173"/>
      <c r="FD62" s="173"/>
      <c r="FE62" s="173"/>
      <c r="FF62" s="173"/>
      <c r="FG62" s="173"/>
      <c r="FH62" s="173"/>
      <c r="FI62" s="173"/>
      <c r="FJ62" s="173"/>
      <c r="FK62" s="173"/>
      <c r="FL62" s="173"/>
      <c r="FM62" s="173"/>
      <c r="FN62" s="173"/>
      <c r="FO62" s="173"/>
      <c r="FP62" s="173"/>
      <c r="FQ62" s="173"/>
      <c r="FR62" s="173"/>
    </row>
    <row r="63" spans="1:174" ht="14.4" thickBot="1" x14ac:dyDescent="0.35">
      <c r="A63" s="123">
        <v>1.7</v>
      </c>
      <c r="B63" s="124" t="s">
        <v>15</v>
      </c>
      <c r="C63" s="111"/>
      <c r="D63" s="111"/>
      <c r="E63" s="111"/>
      <c r="F63" s="111"/>
      <c r="G63" s="111"/>
      <c r="H63" s="111"/>
      <c r="I63" s="111"/>
      <c r="J63" s="111"/>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c r="CF63" s="111"/>
      <c r="CG63" s="111"/>
      <c r="CH63" s="111"/>
      <c r="CI63" s="111"/>
      <c r="CJ63" s="111"/>
      <c r="CK63" s="111"/>
      <c r="CL63" s="111"/>
      <c r="CM63" s="111"/>
      <c r="CN63" s="111"/>
      <c r="CO63" s="111"/>
      <c r="CP63" s="111"/>
      <c r="CQ63" s="111"/>
      <c r="CR63" s="111"/>
      <c r="CS63" s="111"/>
      <c r="CT63" s="111"/>
      <c r="CU63" s="111"/>
      <c r="CV63" s="111"/>
      <c r="CW63" s="111"/>
      <c r="CX63" s="111"/>
      <c r="CY63" s="111"/>
      <c r="CZ63" s="111"/>
      <c r="DA63" s="111"/>
      <c r="DB63" s="111"/>
      <c r="DC63" s="111"/>
      <c r="DD63" s="111"/>
      <c r="DE63" s="111"/>
      <c r="DF63" s="111"/>
      <c r="DG63" s="111"/>
      <c r="DH63" s="111"/>
      <c r="DI63" s="111"/>
      <c r="DJ63" s="111"/>
      <c r="DK63" s="111"/>
      <c r="DL63" s="111"/>
      <c r="DM63" s="111"/>
      <c r="DN63" s="111"/>
      <c r="DO63" s="111"/>
      <c r="DP63" s="111"/>
      <c r="DQ63" s="111"/>
      <c r="DR63" s="111"/>
      <c r="DS63" s="111"/>
      <c r="DT63" s="111"/>
      <c r="DU63" s="111"/>
      <c r="DV63" s="111"/>
      <c r="DW63" s="111"/>
      <c r="DX63" s="111"/>
      <c r="DY63" s="111"/>
      <c r="DZ63" s="111"/>
      <c r="EA63" s="111"/>
      <c r="EB63" s="111"/>
      <c r="EC63" s="111"/>
      <c r="ED63" s="111"/>
      <c r="EE63" s="111"/>
      <c r="EF63" s="111"/>
      <c r="EG63" s="111"/>
      <c r="EH63" s="111"/>
      <c r="EI63" s="111"/>
      <c r="EJ63" s="111"/>
      <c r="EK63" s="111"/>
      <c r="EL63" s="111"/>
      <c r="EM63" s="111"/>
      <c r="EN63" s="111"/>
      <c r="EO63" s="111"/>
      <c r="EP63" s="111"/>
      <c r="EQ63" s="111"/>
      <c r="ER63" s="111"/>
      <c r="ES63" s="111"/>
      <c r="ET63" s="111"/>
      <c r="EU63" s="111"/>
      <c r="EV63" s="111"/>
      <c r="EW63" s="111"/>
      <c r="EX63" s="111"/>
      <c r="EY63" s="111"/>
      <c r="EZ63" s="111"/>
      <c r="FA63" s="111"/>
      <c r="FB63" s="111"/>
      <c r="FC63" s="111"/>
      <c r="FD63" s="111"/>
      <c r="FE63" s="111"/>
      <c r="FF63" s="111"/>
      <c r="FG63" s="111"/>
      <c r="FH63" s="111"/>
      <c r="FI63" s="111"/>
      <c r="FJ63" s="111"/>
      <c r="FK63" s="111"/>
      <c r="FL63" s="111"/>
      <c r="FM63" s="111"/>
      <c r="FN63" s="111"/>
      <c r="FO63" s="111"/>
      <c r="FP63" s="111"/>
      <c r="FQ63" s="111"/>
      <c r="FR63" s="111"/>
    </row>
    <row r="64" spans="1:174" ht="25.05" customHeight="1" x14ac:dyDescent="0.3">
      <c r="A64" s="164" t="s">
        <v>22</v>
      </c>
      <c r="B64" s="165" t="s">
        <v>47</v>
      </c>
      <c r="C64" s="175">
        <v>9</v>
      </c>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5"/>
      <c r="BJ64" s="175"/>
      <c r="BK64" s="175"/>
      <c r="BL64" s="175"/>
      <c r="BM64" s="175"/>
      <c r="BN64" s="175"/>
      <c r="BO64" s="175"/>
      <c r="BP64" s="175"/>
      <c r="BQ64" s="175"/>
      <c r="BR64" s="175"/>
      <c r="BS64" s="175"/>
      <c r="BT64" s="175"/>
      <c r="BU64" s="175"/>
      <c r="BV64" s="175"/>
      <c r="BW64" s="175"/>
      <c r="BX64" s="175"/>
      <c r="BY64" s="175"/>
      <c r="BZ64" s="175"/>
      <c r="CA64" s="175"/>
      <c r="CB64" s="175"/>
      <c r="CC64" s="175"/>
      <c r="CD64" s="175"/>
      <c r="CE64" s="175"/>
      <c r="CF64" s="175"/>
      <c r="CG64" s="175"/>
      <c r="CH64" s="175"/>
      <c r="CI64" s="175"/>
      <c r="CJ64" s="175"/>
      <c r="CK64" s="175"/>
      <c r="CL64" s="175"/>
      <c r="CM64" s="175"/>
      <c r="CN64" s="175"/>
      <c r="CO64" s="175"/>
      <c r="CP64" s="175"/>
      <c r="CQ64" s="175"/>
      <c r="CR64" s="175"/>
      <c r="CS64" s="175"/>
      <c r="CT64" s="175"/>
      <c r="CU64" s="175"/>
      <c r="CV64" s="175"/>
      <c r="CW64" s="175"/>
      <c r="CX64" s="175"/>
      <c r="CY64" s="175"/>
      <c r="CZ64" s="175"/>
      <c r="DA64" s="175"/>
      <c r="DB64" s="175"/>
      <c r="DC64" s="175"/>
      <c r="DD64" s="175"/>
      <c r="DE64" s="175"/>
      <c r="DF64" s="175"/>
      <c r="DG64" s="175"/>
      <c r="DH64" s="175"/>
      <c r="DI64" s="175"/>
      <c r="DJ64" s="175"/>
      <c r="DK64" s="175"/>
      <c r="DL64" s="175"/>
      <c r="DM64" s="175"/>
      <c r="DN64" s="175"/>
      <c r="DO64" s="175"/>
      <c r="DP64" s="175"/>
      <c r="DQ64" s="175"/>
      <c r="DR64" s="175"/>
      <c r="DS64" s="175"/>
      <c r="DT64" s="175"/>
      <c r="DU64" s="175"/>
      <c r="DV64" s="175"/>
      <c r="DW64" s="175"/>
      <c r="DX64" s="175"/>
      <c r="DY64" s="175"/>
      <c r="DZ64" s="175"/>
      <c r="EA64" s="175"/>
      <c r="EB64" s="175"/>
      <c r="EC64" s="175"/>
      <c r="ED64" s="175"/>
      <c r="EE64" s="175"/>
      <c r="EF64" s="175"/>
      <c r="EG64" s="175"/>
      <c r="EH64" s="175"/>
      <c r="EI64" s="175"/>
      <c r="EJ64" s="175"/>
      <c r="EK64" s="175"/>
      <c r="EL64" s="175"/>
      <c r="EM64" s="175"/>
      <c r="EN64" s="175"/>
      <c r="EO64" s="175"/>
      <c r="EP64" s="175"/>
      <c r="EQ64" s="175"/>
      <c r="ER64" s="175"/>
      <c r="ES64" s="175"/>
      <c r="ET64" s="175"/>
      <c r="EU64" s="175"/>
      <c r="EV64" s="175"/>
      <c r="EW64" s="175"/>
      <c r="EX64" s="175"/>
      <c r="EY64" s="175"/>
      <c r="EZ64" s="175"/>
      <c r="FA64" s="175"/>
      <c r="FB64" s="175"/>
      <c r="FC64" s="175"/>
      <c r="FD64" s="175"/>
      <c r="FE64" s="175"/>
      <c r="FF64" s="175"/>
      <c r="FG64" s="175"/>
      <c r="FH64" s="175"/>
      <c r="FI64" s="175"/>
      <c r="FJ64" s="175"/>
      <c r="FK64" s="175"/>
      <c r="FL64" s="175"/>
      <c r="FM64" s="175"/>
      <c r="FN64" s="175"/>
      <c r="FO64" s="175"/>
      <c r="FP64" s="175"/>
      <c r="FQ64" s="175"/>
      <c r="FR64" s="175"/>
    </row>
    <row r="65" spans="1:174" ht="25.05" customHeight="1" x14ac:dyDescent="0.3">
      <c r="A65" s="166" t="s">
        <v>24</v>
      </c>
      <c r="B65" s="167" t="s">
        <v>48</v>
      </c>
      <c r="C65" s="175">
        <v>9</v>
      </c>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5"/>
      <c r="BJ65" s="175"/>
      <c r="BK65" s="175"/>
      <c r="BL65" s="175"/>
      <c r="BM65" s="175"/>
      <c r="BN65" s="175"/>
      <c r="BO65" s="175"/>
      <c r="BP65" s="175"/>
      <c r="BQ65" s="175"/>
      <c r="BR65" s="175"/>
      <c r="BS65" s="175"/>
      <c r="BT65" s="175"/>
      <c r="BU65" s="175"/>
      <c r="BV65" s="175"/>
      <c r="BW65" s="175"/>
      <c r="BX65" s="175"/>
      <c r="BY65" s="175"/>
      <c r="BZ65" s="175"/>
      <c r="CA65" s="175"/>
      <c r="CB65" s="175"/>
      <c r="CC65" s="175"/>
      <c r="CD65" s="175"/>
      <c r="CE65" s="175"/>
      <c r="CF65" s="175"/>
      <c r="CG65" s="175"/>
      <c r="CH65" s="175"/>
      <c r="CI65" s="175"/>
      <c r="CJ65" s="175"/>
      <c r="CK65" s="175"/>
      <c r="CL65" s="175"/>
      <c r="CM65" s="175"/>
      <c r="CN65" s="175"/>
      <c r="CO65" s="175"/>
      <c r="CP65" s="175"/>
      <c r="CQ65" s="175"/>
      <c r="CR65" s="175"/>
      <c r="CS65" s="175"/>
      <c r="CT65" s="175"/>
      <c r="CU65" s="175"/>
      <c r="CV65" s="175"/>
      <c r="CW65" s="175"/>
      <c r="CX65" s="175"/>
      <c r="CY65" s="175"/>
      <c r="CZ65" s="175"/>
      <c r="DA65" s="175"/>
      <c r="DB65" s="175"/>
      <c r="DC65" s="175"/>
      <c r="DD65" s="175"/>
      <c r="DE65" s="175"/>
      <c r="DF65" s="175"/>
      <c r="DG65" s="175"/>
      <c r="DH65" s="175"/>
      <c r="DI65" s="175"/>
      <c r="DJ65" s="175"/>
      <c r="DK65" s="175"/>
      <c r="DL65" s="175"/>
      <c r="DM65" s="175"/>
      <c r="DN65" s="175"/>
      <c r="DO65" s="175"/>
      <c r="DP65" s="175"/>
      <c r="DQ65" s="175"/>
      <c r="DR65" s="175"/>
      <c r="DS65" s="175"/>
      <c r="DT65" s="175"/>
      <c r="DU65" s="175"/>
      <c r="DV65" s="175"/>
      <c r="DW65" s="175"/>
      <c r="DX65" s="175"/>
      <c r="DY65" s="175"/>
      <c r="DZ65" s="175"/>
      <c r="EA65" s="175"/>
      <c r="EB65" s="175"/>
      <c r="EC65" s="175"/>
      <c r="ED65" s="175"/>
      <c r="EE65" s="175"/>
      <c r="EF65" s="175"/>
      <c r="EG65" s="175"/>
      <c r="EH65" s="175"/>
      <c r="EI65" s="175"/>
      <c r="EJ65" s="175"/>
      <c r="EK65" s="175"/>
      <c r="EL65" s="175"/>
      <c r="EM65" s="175"/>
      <c r="EN65" s="175"/>
      <c r="EO65" s="175"/>
      <c r="EP65" s="175"/>
      <c r="EQ65" s="175"/>
      <c r="ER65" s="175"/>
      <c r="ES65" s="175"/>
      <c r="ET65" s="175"/>
      <c r="EU65" s="175"/>
      <c r="EV65" s="175"/>
      <c r="EW65" s="175"/>
      <c r="EX65" s="175"/>
      <c r="EY65" s="175"/>
      <c r="EZ65" s="175"/>
      <c r="FA65" s="175"/>
      <c r="FB65" s="175"/>
      <c r="FC65" s="175"/>
      <c r="FD65" s="175"/>
      <c r="FE65" s="175"/>
      <c r="FF65" s="175"/>
      <c r="FG65" s="175"/>
      <c r="FH65" s="175"/>
      <c r="FI65" s="175"/>
      <c r="FJ65" s="175"/>
      <c r="FK65" s="175"/>
      <c r="FL65" s="175"/>
      <c r="FM65" s="175"/>
      <c r="FN65" s="175"/>
      <c r="FO65" s="175"/>
      <c r="FP65" s="175"/>
      <c r="FQ65" s="175"/>
      <c r="FR65" s="175"/>
    </row>
    <row r="66" spans="1:174" ht="25.05" customHeight="1" x14ac:dyDescent="0.3">
      <c r="A66" s="166" t="s">
        <v>26</v>
      </c>
      <c r="B66" s="167" t="s">
        <v>49</v>
      </c>
      <c r="C66" s="175">
        <v>9</v>
      </c>
      <c r="D66" s="175"/>
      <c r="E66" s="175"/>
      <c r="F66" s="175"/>
      <c r="G66" s="175"/>
      <c r="H66" s="175"/>
      <c r="I66" s="175"/>
      <c r="J66" s="175"/>
      <c r="K66" s="175"/>
      <c r="L66" s="175"/>
      <c r="M66" s="175"/>
      <c r="N66" s="175"/>
      <c r="O66" s="175"/>
      <c r="P66" s="175"/>
      <c r="Q66" s="175"/>
      <c r="R66" s="175"/>
      <c r="S66" s="175"/>
      <c r="T66" s="175"/>
      <c r="U66" s="175"/>
      <c r="V66" s="175"/>
      <c r="W66" s="175"/>
      <c r="X66" s="175"/>
      <c r="Y66" s="175"/>
      <c r="Z66" s="175"/>
      <c r="AA66" s="175"/>
      <c r="AB66" s="175"/>
      <c r="AC66" s="175"/>
      <c r="AD66" s="175"/>
      <c r="AE66" s="175"/>
      <c r="AF66" s="175"/>
      <c r="AG66" s="175"/>
      <c r="AH66" s="175"/>
      <c r="AI66" s="175"/>
      <c r="AJ66" s="175"/>
      <c r="AK66" s="175"/>
      <c r="AL66" s="175"/>
      <c r="AM66" s="175"/>
      <c r="AN66" s="175"/>
      <c r="AO66" s="175"/>
      <c r="AP66" s="175"/>
      <c r="AQ66" s="175"/>
      <c r="AR66" s="175"/>
      <c r="AS66" s="175"/>
      <c r="AT66" s="175"/>
      <c r="AU66" s="175"/>
      <c r="AV66" s="175"/>
      <c r="AW66" s="175"/>
      <c r="AX66" s="175"/>
      <c r="AY66" s="175"/>
      <c r="AZ66" s="175"/>
      <c r="BA66" s="175"/>
      <c r="BB66" s="175"/>
      <c r="BC66" s="175"/>
      <c r="BD66" s="175"/>
      <c r="BE66" s="175"/>
      <c r="BF66" s="175"/>
      <c r="BG66" s="175"/>
      <c r="BH66" s="175"/>
      <c r="BI66" s="175"/>
      <c r="BJ66" s="175"/>
      <c r="BK66" s="175"/>
      <c r="BL66" s="175"/>
      <c r="BM66" s="175"/>
      <c r="BN66" s="175"/>
      <c r="BO66" s="175"/>
      <c r="BP66" s="175"/>
      <c r="BQ66" s="175"/>
      <c r="BR66" s="175"/>
      <c r="BS66" s="175"/>
      <c r="BT66" s="175"/>
      <c r="BU66" s="175"/>
      <c r="BV66" s="175"/>
      <c r="BW66" s="175"/>
      <c r="BX66" s="175"/>
      <c r="BY66" s="175"/>
      <c r="BZ66" s="175"/>
      <c r="CA66" s="175"/>
      <c r="CB66" s="175"/>
      <c r="CC66" s="175"/>
      <c r="CD66" s="175"/>
      <c r="CE66" s="175"/>
      <c r="CF66" s="175"/>
      <c r="CG66" s="175"/>
      <c r="CH66" s="175"/>
      <c r="CI66" s="175"/>
      <c r="CJ66" s="175"/>
      <c r="CK66" s="175"/>
      <c r="CL66" s="175"/>
      <c r="CM66" s="175"/>
      <c r="CN66" s="175"/>
      <c r="CO66" s="175"/>
      <c r="CP66" s="175"/>
      <c r="CQ66" s="175"/>
      <c r="CR66" s="175"/>
      <c r="CS66" s="175"/>
      <c r="CT66" s="175"/>
      <c r="CU66" s="175"/>
      <c r="CV66" s="175"/>
      <c r="CW66" s="175"/>
      <c r="CX66" s="175"/>
      <c r="CY66" s="175"/>
      <c r="CZ66" s="175"/>
      <c r="DA66" s="175"/>
      <c r="DB66" s="175"/>
      <c r="DC66" s="175"/>
      <c r="DD66" s="175"/>
      <c r="DE66" s="175"/>
      <c r="DF66" s="175"/>
      <c r="DG66" s="175"/>
      <c r="DH66" s="175"/>
      <c r="DI66" s="175"/>
      <c r="DJ66" s="175"/>
      <c r="DK66" s="175"/>
      <c r="DL66" s="175"/>
      <c r="DM66" s="175"/>
      <c r="DN66" s="175"/>
      <c r="DO66" s="175"/>
      <c r="DP66" s="175"/>
      <c r="DQ66" s="175"/>
      <c r="DR66" s="175"/>
      <c r="DS66" s="175"/>
      <c r="DT66" s="175"/>
      <c r="DU66" s="175"/>
      <c r="DV66" s="175"/>
      <c r="DW66" s="175"/>
      <c r="DX66" s="175"/>
      <c r="DY66" s="175"/>
      <c r="DZ66" s="175"/>
      <c r="EA66" s="175"/>
      <c r="EB66" s="175"/>
      <c r="EC66" s="175"/>
      <c r="ED66" s="175"/>
      <c r="EE66" s="175"/>
      <c r="EF66" s="175"/>
      <c r="EG66" s="175"/>
      <c r="EH66" s="175"/>
      <c r="EI66" s="175"/>
      <c r="EJ66" s="175"/>
      <c r="EK66" s="175"/>
      <c r="EL66" s="175"/>
      <c r="EM66" s="175"/>
      <c r="EN66" s="175"/>
      <c r="EO66" s="175"/>
      <c r="EP66" s="175"/>
      <c r="EQ66" s="175"/>
      <c r="ER66" s="175"/>
      <c r="ES66" s="175"/>
      <c r="ET66" s="175"/>
      <c r="EU66" s="175"/>
      <c r="EV66" s="175"/>
      <c r="EW66" s="175"/>
      <c r="EX66" s="175"/>
      <c r="EY66" s="175"/>
      <c r="EZ66" s="175"/>
      <c r="FA66" s="175"/>
      <c r="FB66" s="175"/>
      <c r="FC66" s="175"/>
      <c r="FD66" s="175"/>
      <c r="FE66" s="175"/>
      <c r="FF66" s="175"/>
      <c r="FG66" s="175"/>
      <c r="FH66" s="175"/>
      <c r="FI66" s="175"/>
      <c r="FJ66" s="175"/>
      <c r="FK66" s="175"/>
      <c r="FL66" s="175"/>
      <c r="FM66" s="175"/>
      <c r="FN66" s="175"/>
      <c r="FO66" s="175"/>
      <c r="FP66" s="175"/>
      <c r="FQ66" s="175"/>
      <c r="FR66" s="175"/>
    </row>
    <row r="67" spans="1:174" ht="25.05" customHeight="1" x14ac:dyDescent="0.3">
      <c r="A67" s="166" t="s">
        <v>28</v>
      </c>
      <c r="B67" s="167" t="s">
        <v>50</v>
      </c>
      <c r="C67" s="175">
        <v>9</v>
      </c>
      <c r="D67" s="175"/>
      <c r="E67" s="175"/>
      <c r="F67" s="175"/>
      <c r="G67" s="175"/>
      <c r="H67" s="175"/>
      <c r="I67" s="175"/>
      <c r="J67" s="175"/>
      <c r="K67" s="175"/>
      <c r="L67" s="175"/>
      <c r="M67" s="175"/>
      <c r="N67" s="175"/>
      <c r="O67" s="175"/>
      <c r="P67" s="175"/>
      <c r="Q67" s="175"/>
      <c r="R67" s="175"/>
      <c r="S67" s="175"/>
      <c r="T67" s="175"/>
      <c r="U67" s="175"/>
      <c r="V67" s="175"/>
      <c r="W67" s="175"/>
      <c r="X67" s="175"/>
      <c r="Y67" s="175"/>
      <c r="Z67" s="175"/>
      <c r="AA67" s="175"/>
      <c r="AB67" s="175"/>
      <c r="AC67" s="175"/>
      <c r="AD67" s="175"/>
      <c r="AE67" s="175"/>
      <c r="AF67" s="175"/>
      <c r="AG67" s="175"/>
      <c r="AH67" s="175"/>
      <c r="AI67" s="175"/>
      <c r="AJ67" s="175"/>
      <c r="AK67" s="175"/>
      <c r="AL67" s="175"/>
      <c r="AM67" s="175"/>
      <c r="AN67" s="175"/>
      <c r="AO67" s="175"/>
      <c r="AP67" s="175"/>
      <c r="AQ67" s="175"/>
      <c r="AR67" s="175"/>
      <c r="AS67" s="175"/>
      <c r="AT67" s="175"/>
      <c r="AU67" s="175"/>
      <c r="AV67" s="175"/>
      <c r="AW67" s="175"/>
      <c r="AX67" s="175"/>
      <c r="AY67" s="175"/>
      <c r="AZ67" s="175"/>
      <c r="BA67" s="175"/>
      <c r="BB67" s="175"/>
      <c r="BC67" s="175"/>
      <c r="BD67" s="175"/>
      <c r="BE67" s="175"/>
      <c r="BF67" s="175"/>
      <c r="BG67" s="175"/>
      <c r="BH67" s="175"/>
      <c r="BI67" s="175"/>
      <c r="BJ67" s="175"/>
      <c r="BK67" s="175"/>
      <c r="BL67" s="175"/>
      <c r="BM67" s="175"/>
      <c r="BN67" s="175"/>
      <c r="BO67" s="175"/>
      <c r="BP67" s="175"/>
      <c r="BQ67" s="175"/>
      <c r="BR67" s="175"/>
      <c r="BS67" s="175"/>
      <c r="BT67" s="175"/>
      <c r="BU67" s="175"/>
      <c r="BV67" s="175"/>
      <c r="BW67" s="175"/>
      <c r="BX67" s="175"/>
      <c r="BY67" s="175"/>
      <c r="BZ67" s="175"/>
      <c r="CA67" s="175"/>
      <c r="CB67" s="175"/>
      <c r="CC67" s="175"/>
      <c r="CD67" s="175"/>
      <c r="CE67" s="175"/>
      <c r="CF67" s="175"/>
      <c r="CG67" s="175"/>
      <c r="CH67" s="175"/>
      <c r="CI67" s="175"/>
      <c r="CJ67" s="175"/>
      <c r="CK67" s="175"/>
      <c r="CL67" s="175"/>
      <c r="CM67" s="175"/>
      <c r="CN67" s="175"/>
      <c r="CO67" s="175"/>
      <c r="CP67" s="175"/>
      <c r="CQ67" s="175"/>
      <c r="CR67" s="175"/>
      <c r="CS67" s="175"/>
      <c r="CT67" s="175"/>
      <c r="CU67" s="175"/>
      <c r="CV67" s="175"/>
      <c r="CW67" s="175"/>
      <c r="CX67" s="175"/>
      <c r="CY67" s="175"/>
      <c r="CZ67" s="175"/>
      <c r="DA67" s="175"/>
      <c r="DB67" s="175"/>
      <c r="DC67" s="175"/>
      <c r="DD67" s="175"/>
      <c r="DE67" s="175"/>
      <c r="DF67" s="175"/>
      <c r="DG67" s="175"/>
      <c r="DH67" s="175"/>
      <c r="DI67" s="175"/>
      <c r="DJ67" s="175"/>
      <c r="DK67" s="175"/>
      <c r="DL67" s="175"/>
      <c r="DM67" s="175"/>
      <c r="DN67" s="175"/>
      <c r="DO67" s="175"/>
      <c r="DP67" s="175"/>
      <c r="DQ67" s="175"/>
      <c r="DR67" s="175"/>
      <c r="DS67" s="175"/>
      <c r="DT67" s="175"/>
      <c r="DU67" s="175"/>
      <c r="DV67" s="175"/>
      <c r="DW67" s="175"/>
      <c r="DX67" s="175"/>
      <c r="DY67" s="175"/>
      <c r="DZ67" s="175"/>
      <c r="EA67" s="175"/>
      <c r="EB67" s="175"/>
      <c r="EC67" s="175"/>
      <c r="ED67" s="175"/>
      <c r="EE67" s="175"/>
      <c r="EF67" s="175"/>
      <c r="EG67" s="175"/>
      <c r="EH67" s="175"/>
      <c r="EI67" s="175"/>
      <c r="EJ67" s="175"/>
      <c r="EK67" s="175"/>
      <c r="EL67" s="175"/>
      <c r="EM67" s="175"/>
      <c r="EN67" s="175"/>
      <c r="EO67" s="175"/>
      <c r="EP67" s="175"/>
      <c r="EQ67" s="175"/>
      <c r="ER67" s="175"/>
      <c r="ES67" s="175"/>
      <c r="ET67" s="175"/>
      <c r="EU67" s="175"/>
      <c r="EV67" s="175"/>
      <c r="EW67" s="175"/>
      <c r="EX67" s="175"/>
      <c r="EY67" s="175"/>
      <c r="EZ67" s="175"/>
      <c r="FA67" s="175"/>
      <c r="FB67" s="175"/>
      <c r="FC67" s="175"/>
      <c r="FD67" s="175"/>
      <c r="FE67" s="175"/>
      <c r="FF67" s="175"/>
      <c r="FG67" s="175"/>
      <c r="FH67" s="175"/>
      <c r="FI67" s="175"/>
      <c r="FJ67" s="175"/>
      <c r="FK67" s="175"/>
      <c r="FL67" s="175"/>
      <c r="FM67" s="175"/>
      <c r="FN67" s="175"/>
      <c r="FO67" s="175"/>
      <c r="FP67" s="175"/>
      <c r="FQ67" s="175"/>
      <c r="FR67" s="175"/>
    </row>
    <row r="68" spans="1:174" ht="15" customHeight="1" x14ac:dyDescent="0.3">
      <c r="A68" s="168"/>
      <c r="B68" s="174" t="s">
        <v>32</v>
      </c>
      <c r="C68" s="176">
        <f>SUM(C64:C67)</f>
        <v>36</v>
      </c>
      <c r="D68" s="176">
        <f t="shared" ref="D68:BO68" si="50">SUM(D64:D67)</f>
        <v>0</v>
      </c>
      <c r="E68" s="176">
        <f t="shared" si="50"/>
        <v>0</v>
      </c>
      <c r="F68" s="176">
        <f t="shared" si="50"/>
        <v>0</v>
      </c>
      <c r="G68" s="176">
        <f t="shared" si="50"/>
        <v>0</v>
      </c>
      <c r="H68" s="176">
        <f t="shared" si="50"/>
        <v>0</v>
      </c>
      <c r="I68" s="176">
        <f t="shared" si="50"/>
        <v>0</v>
      </c>
      <c r="J68" s="176">
        <f t="shared" si="50"/>
        <v>0</v>
      </c>
      <c r="K68" s="176">
        <f t="shared" si="50"/>
        <v>0</v>
      </c>
      <c r="L68" s="176">
        <f t="shared" si="50"/>
        <v>0</v>
      </c>
      <c r="M68" s="176">
        <f t="shared" si="50"/>
        <v>0</v>
      </c>
      <c r="N68" s="176">
        <f t="shared" si="50"/>
        <v>0</v>
      </c>
      <c r="O68" s="176">
        <f t="shared" si="50"/>
        <v>0</v>
      </c>
      <c r="P68" s="176">
        <f t="shared" si="50"/>
        <v>0</v>
      </c>
      <c r="Q68" s="176">
        <f t="shared" si="50"/>
        <v>0</v>
      </c>
      <c r="R68" s="176">
        <f t="shared" si="50"/>
        <v>0</v>
      </c>
      <c r="S68" s="176">
        <f t="shared" si="50"/>
        <v>0</v>
      </c>
      <c r="T68" s="176">
        <f t="shared" si="50"/>
        <v>0</v>
      </c>
      <c r="U68" s="176">
        <f t="shared" si="50"/>
        <v>0</v>
      </c>
      <c r="V68" s="176">
        <f t="shared" si="50"/>
        <v>0</v>
      </c>
      <c r="W68" s="176">
        <f t="shared" si="50"/>
        <v>0</v>
      </c>
      <c r="X68" s="176">
        <f t="shared" si="50"/>
        <v>0</v>
      </c>
      <c r="Y68" s="176">
        <f t="shared" si="50"/>
        <v>0</v>
      </c>
      <c r="Z68" s="176">
        <f t="shared" si="50"/>
        <v>0</v>
      </c>
      <c r="AA68" s="176">
        <f t="shared" si="50"/>
        <v>0</v>
      </c>
      <c r="AB68" s="176">
        <f t="shared" si="50"/>
        <v>0</v>
      </c>
      <c r="AC68" s="176">
        <f t="shared" si="50"/>
        <v>0</v>
      </c>
      <c r="AD68" s="176">
        <f t="shared" si="50"/>
        <v>0</v>
      </c>
      <c r="AE68" s="176">
        <f t="shared" si="50"/>
        <v>0</v>
      </c>
      <c r="AF68" s="176">
        <f t="shared" si="50"/>
        <v>0</v>
      </c>
      <c r="AG68" s="176">
        <f t="shared" si="50"/>
        <v>0</v>
      </c>
      <c r="AH68" s="176">
        <f t="shared" si="50"/>
        <v>0</v>
      </c>
      <c r="AI68" s="176">
        <f t="shared" si="50"/>
        <v>0</v>
      </c>
      <c r="AJ68" s="176">
        <f t="shared" si="50"/>
        <v>0</v>
      </c>
      <c r="AK68" s="176">
        <f t="shared" si="50"/>
        <v>0</v>
      </c>
      <c r="AL68" s="176">
        <f t="shared" si="50"/>
        <v>0</v>
      </c>
      <c r="AM68" s="176">
        <f t="shared" si="50"/>
        <v>0</v>
      </c>
      <c r="AN68" s="176">
        <f t="shared" si="50"/>
        <v>0</v>
      </c>
      <c r="AO68" s="176">
        <f t="shared" si="50"/>
        <v>0</v>
      </c>
      <c r="AP68" s="176">
        <f t="shared" si="50"/>
        <v>0</v>
      </c>
      <c r="AQ68" s="176">
        <f t="shared" si="50"/>
        <v>0</v>
      </c>
      <c r="AR68" s="176">
        <f t="shared" si="50"/>
        <v>0</v>
      </c>
      <c r="AS68" s="176">
        <f t="shared" si="50"/>
        <v>0</v>
      </c>
      <c r="AT68" s="176">
        <f t="shared" si="50"/>
        <v>0</v>
      </c>
      <c r="AU68" s="176">
        <f t="shared" si="50"/>
        <v>0</v>
      </c>
      <c r="AV68" s="176">
        <f t="shared" si="50"/>
        <v>0</v>
      </c>
      <c r="AW68" s="176">
        <f t="shared" si="50"/>
        <v>0</v>
      </c>
      <c r="AX68" s="176">
        <f t="shared" si="50"/>
        <v>0</v>
      </c>
      <c r="AY68" s="176">
        <f t="shared" si="50"/>
        <v>0</v>
      </c>
      <c r="AZ68" s="176">
        <f t="shared" si="50"/>
        <v>0</v>
      </c>
      <c r="BA68" s="176">
        <f t="shared" si="50"/>
        <v>0</v>
      </c>
      <c r="BB68" s="176">
        <f t="shared" si="50"/>
        <v>0</v>
      </c>
      <c r="BC68" s="176">
        <f t="shared" si="50"/>
        <v>0</v>
      </c>
      <c r="BD68" s="176">
        <f t="shared" si="50"/>
        <v>0</v>
      </c>
      <c r="BE68" s="176">
        <f t="shared" si="50"/>
        <v>0</v>
      </c>
      <c r="BF68" s="176">
        <f t="shared" si="50"/>
        <v>0</v>
      </c>
      <c r="BG68" s="176">
        <f t="shared" si="50"/>
        <v>0</v>
      </c>
      <c r="BH68" s="176">
        <f t="shared" si="50"/>
        <v>0</v>
      </c>
      <c r="BI68" s="176">
        <f t="shared" si="50"/>
        <v>0</v>
      </c>
      <c r="BJ68" s="176">
        <f t="shared" si="50"/>
        <v>0</v>
      </c>
      <c r="BK68" s="176">
        <f t="shared" si="50"/>
        <v>0</v>
      </c>
      <c r="BL68" s="176">
        <f t="shared" si="50"/>
        <v>0</v>
      </c>
      <c r="BM68" s="176">
        <f t="shared" si="50"/>
        <v>0</v>
      </c>
      <c r="BN68" s="176">
        <f t="shared" si="50"/>
        <v>0</v>
      </c>
      <c r="BO68" s="176">
        <f t="shared" si="50"/>
        <v>0</v>
      </c>
      <c r="BP68" s="176">
        <f t="shared" ref="BP68:EA68" si="51">SUM(BP64:BP67)</f>
        <v>0</v>
      </c>
      <c r="BQ68" s="176">
        <f t="shared" si="51"/>
        <v>0</v>
      </c>
      <c r="BR68" s="176">
        <f t="shared" si="51"/>
        <v>0</v>
      </c>
      <c r="BS68" s="176">
        <f t="shared" si="51"/>
        <v>0</v>
      </c>
      <c r="BT68" s="176">
        <f t="shared" si="51"/>
        <v>0</v>
      </c>
      <c r="BU68" s="176">
        <f t="shared" si="51"/>
        <v>0</v>
      </c>
      <c r="BV68" s="176">
        <f t="shared" si="51"/>
        <v>0</v>
      </c>
      <c r="BW68" s="176">
        <f t="shared" si="51"/>
        <v>0</v>
      </c>
      <c r="BX68" s="176">
        <f t="shared" si="51"/>
        <v>0</v>
      </c>
      <c r="BY68" s="176">
        <f t="shared" si="51"/>
        <v>0</v>
      </c>
      <c r="BZ68" s="176">
        <f t="shared" si="51"/>
        <v>0</v>
      </c>
      <c r="CA68" s="176">
        <f t="shared" si="51"/>
        <v>0</v>
      </c>
      <c r="CB68" s="176">
        <f t="shared" si="51"/>
        <v>0</v>
      </c>
      <c r="CC68" s="176">
        <f t="shared" si="51"/>
        <v>0</v>
      </c>
      <c r="CD68" s="176">
        <f t="shared" si="51"/>
        <v>0</v>
      </c>
      <c r="CE68" s="176">
        <f t="shared" si="51"/>
        <v>0</v>
      </c>
      <c r="CF68" s="176">
        <f t="shared" si="51"/>
        <v>0</v>
      </c>
      <c r="CG68" s="176">
        <f t="shared" si="51"/>
        <v>0</v>
      </c>
      <c r="CH68" s="176">
        <f t="shared" si="51"/>
        <v>0</v>
      </c>
      <c r="CI68" s="176">
        <f t="shared" si="51"/>
        <v>0</v>
      </c>
      <c r="CJ68" s="176">
        <f t="shared" si="51"/>
        <v>0</v>
      </c>
      <c r="CK68" s="176">
        <f t="shared" si="51"/>
        <v>0</v>
      </c>
      <c r="CL68" s="176">
        <f t="shared" si="51"/>
        <v>0</v>
      </c>
      <c r="CM68" s="176">
        <f t="shared" si="51"/>
        <v>0</v>
      </c>
      <c r="CN68" s="176">
        <f t="shared" si="51"/>
        <v>0</v>
      </c>
      <c r="CO68" s="176">
        <f t="shared" si="51"/>
        <v>0</v>
      </c>
      <c r="CP68" s="176">
        <f t="shared" si="51"/>
        <v>0</v>
      </c>
      <c r="CQ68" s="176">
        <f t="shared" si="51"/>
        <v>0</v>
      </c>
      <c r="CR68" s="176">
        <f t="shared" si="51"/>
        <v>0</v>
      </c>
      <c r="CS68" s="176">
        <f t="shared" si="51"/>
        <v>0</v>
      </c>
      <c r="CT68" s="176">
        <f t="shared" si="51"/>
        <v>0</v>
      </c>
      <c r="CU68" s="176">
        <f t="shared" si="51"/>
        <v>0</v>
      </c>
      <c r="CV68" s="176">
        <f t="shared" si="51"/>
        <v>0</v>
      </c>
      <c r="CW68" s="176">
        <f t="shared" si="51"/>
        <v>0</v>
      </c>
      <c r="CX68" s="176">
        <f t="shared" si="51"/>
        <v>0</v>
      </c>
      <c r="CY68" s="176">
        <f t="shared" si="51"/>
        <v>0</v>
      </c>
      <c r="CZ68" s="176">
        <f t="shared" si="51"/>
        <v>0</v>
      </c>
      <c r="DA68" s="176">
        <f t="shared" si="51"/>
        <v>0</v>
      </c>
      <c r="DB68" s="176">
        <f t="shared" si="51"/>
        <v>0</v>
      </c>
      <c r="DC68" s="176">
        <f t="shared" si="51"/>
        <v>0</v>
      </c>
      <c r="DD68" s="176">
        <f t="shared" si="51"/>
        <v>0</v>
      </c>
      <c r="DE68" s="176">
        <f t="shared" si="51"/>
        <v>0</v>
      </c>
      <c r="DF68" s="176">
        <f t="shared" si="51"/>
        <v>0</v>
      </c>
      <c r="DG68" s="176">
        <f t="shared" si="51"/>
        <v>0</v>
      </c>
      <c r="DH68" s="176">
        <f t="shared" si="51"/>
        <v>0</v>
      </c>
      <c r="DI68" s="176">
        <f t="shared" si="51"/>
        <v>0</v>
      </c>
      <c r="DJ68" s="176">
        <f t="shared" si="51"/>
        <v>0</v>
      </c>
      <c r="DK68" s="176">
        <f t="shared" si="51"/>
        <v>0</v>
      </c>
      <c r="DL68" s="176">
        <f t="shared" si="51"/>
        <v>0</v>
      </c>
      <c r="DM68" s="176">
        <f t="shared" si="51"/>
        <v>0</v>
      </c>
      <c r="DN68" s="176">
        <f t="shared" si="51"/>
        <v>0</v>
      </c>
      <c r="DO68" s="176">
        <f t="shared" si="51"/>
        <v>0</v>
      </c>
      <c r="DP68" s="176">
        <f t="shared" si="51"/>
        <v>0</v>
      </c>
      <c r="DQ68" s="176">
        <f t="shared" si="51"/>
        <v>0</v>
      </c>
      <c r="DR68" s="176">
        <f t="shared" si="51"/>
        <v>0</v>
      </c>
      <c r="DS68" s="176">
        <f t="shared" si="51"/>
        <v>0</v>
      </c>
      <c r="DT68" s="176">
        <f t="shared" si="51"/>
        <v>0</v>
      </c>
      <c r="DU68" s="176">
        <f t="shared" si="51"/>
        <v>0</v>
      </c>
      <c r="DV68" s="176">
        <f t="shared" si="51"/>
        <v>0</v>
      </c>
      <c r="DW68" s="176">
        <f t="shared" si="51"/>
        <v>0</v>
      </c>
      <c r="DX68" s="176">
        <f t="shared" si="51"/>
        <v>0</v>
      </c>
      <c r="DY68" s="176">
        <f t="shared" si="51"/>
        <v>0</v>
      </c>
      <c r="DZ68" s="176">
        <f t="shared" si="51"/>
        <v>0</v>
      </c>
      <c r="EA68" s="176">
        <f t="shared" si="51"/>
        <v>0</v>
      </c>
      <c r="EB68" s="176">
        <f t="shared" ref="EB68:FR68" si="52">SUM(EB64:EB67)</f>
        <v>0</v>
      </c>
      <c r="EC68" s="176">
        <f t="shared" si="52"/>
        <v>0</v>
      </c>
      <c r="ED68" s="176">
        <f t="shared" si="52"/>
        <v>0</v>
      </c>
      <c r="EE68" s="176">
        <f t="shared" si="52"/>
        <v>0</v>
      </c>
      <c r="EF68" s="176">
        <f t="shared" si="52"/>
        <v>0</v>
      </c>
      <c r="EG68" s="176">
        <f t="shared" si="52"/>
        <v>0</v>
      </c>
      <c r="EH68" s="176">
        <f t="shared" si="52"/>
        <v>0</v>
      </c>
      <c r="EI68" s="176">
        <f t="shared" si="52"/>
        <v>0</v>
      </c>
      <c r="EJ68" s="176">
        <f t="shared" si="52"/>
        <v>0</v>
      </c>
      <c r="EK68" s="176">
        <f t="shared" si="52"/>
        <v>0</v>
      </c>
      <c r="EL68" s="176">
        <f t="shared" si="52"/>
        <v>0</v>
      </c>
      <c r="EM68" s="176">
        <f t="shared" si="52"/>
        <v>0</v>
      </c>
      <c r="EN68" s="176">
        <f t="shared" si="52"/>
        <v>0</v>
      </c>
      <c r="EO68" s="176">
        <f t="shared" si="52"/>
        <v>0</v>
      </c>
      <c r="EP68" s="176">
        <f t="shared" si="52"/>
        <v>0</v>
      </c>
      <c r="EQ68" s="176">
        <f t="shared" si="52"/>
        <v>0</v>
      </c>
      <c r="ER68" s="176">
        <f t="shared" si="52"/>
        <v>0</v>
      </c>
      <c r="ES68" s="176">
        <f t="shared" si="52"/>
        <v>0</v>
      </c>
      <c r="ET68" s="176">
        <f t="shared" si="52"/>
        <v>0</v>
      </c>
      <c r="EU68" s="176">
        <f t="shared" si="52"/>
        <v>0</v>
      </c>
      <c r="EV68" s="176">
        <f t="shared" si="52"/>
        <v>0</v>
      </c>
      <c r="EW68" s="176">
        <f t="shared" si="52"/>
        <v>0</v>
      </c>
      <c r="EX68" s="176">
        <f t="shared" si="52"/>
        <v>0</v>
      </c>
      <c r="EY68" s="176">
        <f t="shared" si="52"/>
        <v>0</v>
      </c>
      <c r="EZ68" s="176">
        <f t="shared" si="52"/>
        <v>0</v>
      </c>
      <c r="FA68" s="176">
        <f t="shared" si="52"/>
        <v>0</v>
      </c>
      <c r="FB68" s="176">
        <f t="shared" si="52"/>
        <v>0</v>
      </c>
      <c r="FC68" s="176">
        <f t="shared" si="52"/>
        <v>0</v>
      </c>
      <c r="FD68" s="176">
        <f t="shared" si="52"/>
        <v>0</v>
      </c>
      <c r="FE68" s="176">
        <f t="shared" si="52"/>
        <v>0</v>
      </c>
      <c r="FF68" s="176">
        <f t="shared" si="52"/>
        <v>0</v>
      </c>
      <c r="FG68" s="176">
        <f t="shared" si="52"/>
        <v>0</v>
      </c>
      <c r="FH68" s="176">
        <f t="shared" si="52"/>
        <v>0</v>
      </c>
      <c r="FI68" s="176">
        <f t="shared" si="52"/>
        <v>0</v>
      </c>
      <c r="FJ68" s="176">
        <f t="shared" si="52"/>
        <v>0</v>
      </c>
      <c r="FK68" s="176">
        <f t="shared" si="52"/>
        <v>0</v>
      </c>
      <c r="FL68" s="176">
        <f t="shared" si="52"/>
        <v>0</v>
      </c>
      <c r="FM68" s="176">
        <f t="shared" si="52"/>
        <v>0</v>
      </c>
      <c r="FN68" s="176">
        <f t="shared" si="52"/>
        <v>0</v>
      </c>
      <c r="FO68" s="176">
        <f t="shared" si="52"/>
        <v>0</v>
      </c>
      <c r="FP68" s="176">
        <f t="shared" si="52"/>
        <v>0</v>
      </c>
      <c r="FQ68" s="176">
        <f t="shared" si="52"/>
        <v>0</v>
      </c>
      <c r="FR68" s="176">
        <f t="shared" si="52"/>
        <v>0</v>
      </c>
    </row>
    <row r="69" spans="1:174" ht="15" customHeight="1" thickBot="1" x14ac:dyDescent="0.35">
      <c r="A69" s="170"/>
      <c r="B69" s="171" t="s">
        <v>33</v>
      </c>
      <c r="C69" s="177">
        <f>C68/4</f>
        <v>9</v>
      </c>
      <c r="D69" s="177">
        <f t="shared" ref="D69:BO69" si="53">D68/4</f>
        <v>0</v>
      </c>
      <c r="E69" s="177">
        <f t="shared" si="53"/>
        <v>0</v>
      </c>
      <c r="F69" s="177">
        <f t="shared" si="53"/>
        <v>0</v>
      </c>
      <c r="G69" s="177">
        <f t="shared" si="53"/>
        <v>0</v>
      </c>
      <c r="H69" s="177">
        <f t="shared" si="53"/>
        <v>0</v>
      </c>
      <c r="I69" s="177">
        <f t="shared" si="53"/>
        <v>0</v>
      </c>
      <c r="J69" s="177">
        <f t="shared" si="53"/>
        <v>0</v>
      </c>
      <c r="K69" s="177">
        <f t="shared" si="53"/>
        <v>0</v>
      </c>
      <c r="L69" s="177">
        <f t="shared" si="53"/>
        <v>0</v>
      </c>
      <c r="M69" s="177">
        <f t="shared" si="53"/>
        <v>0</v>
      </c>
      <c r="N69" s="177">
        <f t="shared" si="53"/>
        <v>0</v>
      </c>
      <c r="O69" s="177">
        <f t="shared" si="53"/>
        <v>0</v>
      </c>
      <c r="P69" s="177">
        <f t="shared" si="53"/>
        <v>0</v>
      </c>
      <c r="Q69" s="177">
        <f t="shared" si="53"/>
        <v>0</v>
      </c>
      <c r="R69" s="177">
        <f t="shared" si="53"/>
        <v>0</v>
      </c>
      <c r="S69" s="177">
        <f t="shared" si="53"/>
        <v>0</v>
      </c>
      <c r="T69" s="177">
        <f t="shared" si="53"/>
        <v>0</v>
      </c>
      <c r="U69" s="177">
        <f t="shared" si="53"/>
        <v>0</v>
      </c>
      <c r="V69" s="177">
        <f t="shared" si="53"/>
        <v>0</v>
      </c>
      <c r="W69" s="177">
        <f t="shared" si="53"/>
        <v>0</v>
      </c>
      <c r="X69" s="177">
        <f t="shared" si="53"/>
        <v>0</v>
      </c>
      <c r="Y69" s="177">
        <f t="shared" si="53"/>
        <v>0</v>
      </c>
      <c r="Z69" s="177">
        <f t="shared" si="53"/>
        <v>0</v>
      </c>
      <c r="AA69" s="177">
        <f t="shared" si="53"/>
        <v>0</v>
      </c>
      <c r="AB69" s="177">
        <f t="shared" si="53"/>
        <v>0</v>
      </c>
      <c r="AC69" s="177">
        <f t="shared" si="53"/>
        <v>0</v>
      </c>
      <c r="AD69" s="177">
        <f t="shared" si="53"/>
        <v>0</v>
      </c>
      <c r="AE69" s="177">
        <f t="shared" si="53"/>
        <v>0</v>
      </c>
      <c r="AF69" s="177">
        <f t="shared" si="53"/>
        <v>0</v>
      </c>
      <c r="AG69" s="177">
        <f t="shared" si="53"/>
        <v>0</v>
      </c>
      <c r="AH69" s="177">
        <f t="shared" si="53"/>
        <v>0</v>
      </c>
      <c r="AI69" s="177">
        <f t="shared" si="53"/>
        <v>0</v>
      </c>
      <c r="AJ69" s="177">
        <f t="shared" si="53"/>
        <v>0</v>
      </c>
      <c r="AK69" s="177">
        <f t="shared" si="53"/>
        <v>0</v>
      </c>
      <c r="AL69" s="177">
        <f t="shared" si="53"/>
        <v>0</v>
      </c>
      <c r="AM69" s="177">
        <f t="shared" si="53"/>
        <v>0</v>
      </c>
      <c r="AN69" s="177">
        <f t="shared" si="53"/>
        <v>0</v>
      </c>
      <c r="AO69" s="177">
        <f t="shared" si="53"/>
        <v>0</v>
      </c>
      <c r="AP69" s="177">
        <f t="shared" si="53"/>
        <v>0</v>
      </c>
      <c r="AQ69" s="177">
        <f t="shared" si="53"/>
        <v>0</v>
      </c>
      <c r="AR69" s="177">
        <f t="shared" si="53"/>
        <v>0</v>
      </c>
      <c r="AS69" s="177">
        <f t="shared" si="53"/>
        <v>0</v>
      </c>
      <c r="AT69" s="177">
        <f t="shared" si="53"/>
        <v>0</v>
      </c>
      <c r="AU69" s="177">
        <f t="shared" si="53"/>
        <v>0</v>
      </c>
      <c r="AV69" s="177">
        <f t="shared" si="53"/>
        <v>0</v>
      </c>
      <c r="AW69" s="177">
        <f t="shared" si="53"/>
        <v>0</v>
      </c>
      <c r="AX69" s="177">
        <f t="shared" si="53"/>
        <v>0</v>
      </c>
      <c r="AY69" s="177">
        <f t="shared" si="53"/>
        <v>0</v>
      </c>
      <c r="AZ69" s="177">
        <f t="shared" si="53"/>
        <v>0</v>
      </c>
      <c r="BA69" s="177">
        <f t="shared" si="53"/>
        <v>0</v>
      </c>
      <c r="BB69" s="177">
        <f t="shared" si="53"/>
        <v>0</v>
      </c>
      <c r="BC69" s="177">
        <f t="shared" si="53"/>
        <v>0</v>
      </c>
      <c r="BD69" s="177">
        <f t="shared" si="53"/>
        <v>0</v>
      </c>
      <c r="BE69" s="177">
        <f t="shared" si="53"/>
        <v>0</v>
      </c>
      <c r="BF69" s="177">
        <f t="shared" si="53"/>
        <v>0</v>
      </c>
      <c r="BG69" s="177">
        <f t="shared" si="53"/>
        <v>0</v>
      </c>
      <c r="BH69" s="177">
        <f t="shared" si="53"/>
        <v>0</v>
      </c>
      <c r="BI69" s="177">
        <f t="shared" si="53"/>
        <v>0</v>
      </c>
      <c r="BJ69" s="177">
        <f t="shared" si="53"/>
        <v>0</v>
      </c>
      <c r="BK69" s="177">
        <f t="shared" si="53"/>
        <v>0</v>
      </c>
      <c r="BL69" s="177">
        <f t="shared" si="53"/>
        <v>0</v>
      </c>
      <c r="BM69" s="177">
        <f t="shared" si="53"/>
        <v>0</v>
      </c>
      <c r="BN69" s="177">
        <f t="shared" si="53"/>
        <v>0</v>
      </c>
      <c r="BO69" s="177">
        <f t="shared" si="53"/>
        <v>0</v>
      </c>
      <c r="BP69" s="177">
        <f t="shared" ref="BP69:EA69" si="54">BP68/4</f>
        <v>0</v>
      </c>
      <c r="BQ69" s="177">
        <f t="shared" si="54"/>
        <v>0</v>
      </c>
      <c r="BR69" s="177">
        <f t="shared" si="54"/>
        <v>0</v>
      </c>
      <c r="BS69" s="177">
        <f t="shared" si="54"/>
        <v>0</v>
      </c>
      <c r="BT69" s="177">
        <f t="shared" si="54"/>
        <v>0</v>
      </c>
      <c r="BU69" s="177">
        <f t="shared" si="54"/>
        <v>0</v>
      </c>
      <c r="BV69" s="177">
        <f t="shared" si="54"/>
        <v>0</v>
      </c>
      <c r="BW69" s="177">
        <f t="shared" si="54"/>
        <v>0</v>
      </c>
      <c r="BX69" s="177">
        <f t="shared" si="54"/>
        <v>0</v>
      </c>
      <c r="BY69" s="177">
        <f t="shared" si="54"/>
        <v>0</v>
      </c>
      <c r="BZ69" s="177">
        <f t="shared" si="54"/>
        <v>0</v>
      </c>
      <c r="CA69" s="177">
        <f t="shared" si="54"/>
        <v>0</v>
      </c>
      <c r="CB69" s="177">
        <f t="shared" si="54"/>
        <v>0</v>
      </c>
      <c r="CC69" s="177">
        <f t="shared" si="54"/>
        <v>0</v>
      </c>
      <c r="CD69" s="177">
        <f t="shared" si="54"/>
        <v>0</v>
      </c>
      <c r="CE69" s="177">
        <f t="shared" si="54"/>
        <v>0</v>
      </c>
      <c r="CF69" s="177">
        <f t="shared" si="54"/>
        <v>0</v>
      </c>
      <c r="CG69" s="177">
        <f t="shared" si="54"/>
        <v>0</v>
      </c>
      <c r="CH69" s="177">
        <f t="shared" si="54"/>
        <v>0</v>
      </c>
      <c r="CI69" s="177">
        <f t="shared" si="54"/>
        <v>0</v>
      </c>
      <c r="CJ69" s="177">
        <f t="shared" si="54"/>
        <v>0</v>
      </c>
      <c r="CK69" s="177">
        <f t="shared" si="54"/>
        <v>0</v>
      </c>
      <c r="CL69" s="177">
        <f t="shared" si="54"/>
        <v>0</v>
      </c>
      <c r="CM69" s="177">
        <f t="shared" si="54"/>
        <v>0</v>
      </c>
      <c r="CN69" s="177">
        <f t="shared" si="54"/>
        <v>0</v>
      </c>
      <c r="CO69" s="177">
        <f t="shared" si="54"/>
        <v>0</v>
      </c>
      <c r="CP69" s="177">
        <f t="shared" si="54"/>
        <v>0</v>
      </c>
      <c r="CQ69" s="177">
        <f t="shared" si="54"/>
        <v>0</v>
      </c>
      <c r="CR69" s="177">
        <f t="shared" si="54"/>
        <v>0</v>
      </c>
      <c r="CS69" s="177">
        <f t="shared" si="54"/>
        <v>0</v>
      </c>
      <c r="CT69" s="177">
        <f t="shared" si="54"/>
        <v>0</v>
      </c>
      <c r="CU69" s="177">
        <f t="shared" si="54"/>
        <v>0</v>
      </c>
      <c r="CV69" s="177">
        <f t="shared" si="54"/>
        <v>0</v>
      </c>
      <c r="CW69" s="177">
        <f t="shared" si="54"/>
        <v>0</v>
      </c>
      <c r="CX69" s="177">
        <f t="shared" si="54"/>
        <v>0</v>
      </c>
      <c r="CY69" s="177">
        <f t="shared" si="54"/>
        <v>0</v>
      </c>
      <c r="CZ69" s="177">
        <f t="shared" si="54"/>
        <v>0</v>
      </c>
      <c r="DA69" s="177">
        <f t="shared" si="54"/>
        <v>0</v>
      </c>
      <c r="DB69" s="177">
        <f t="shared" si="54"/>
        <v>0</v>
      </c>
      <c r="DC69" s="177">
        <f t="shared" si="54"/>
        <v>0</v>
      </c>
      <c r="DD69" s="177">
        <f t="shared" si="54"/>
        <v>0</v>
      </c>
      <c r="DE69" s="177">
        <f t="shared" si="54"/>
        <v>0</v>
      </c>
      <c r="DF69" s="177">
        <f t="shared" si="54"/>
        <v>0</v>
      </c>
      <c r="DG69" s="177">
        <f t="shared" si="54"/>
        <v>0</v>
      </c>
      <c r="DH69" s="177">
        <f t="shared" si="54"/>
        <v>0</v>
      </c>
      <c r="DI69" s="177">
        <f t="shared" si="54"/>
        <v>0</v>
      </c>
      <c r="DJ69" s="177">
        <f t="shared" si="54"/>
        <v>0</v>
      </c>
      <c r="DK69" s="177">
        <f t="shared" si="54"/>
        <v>0</v>
      </c>
      <c r="DL69" s="177">
        <f t="shared" si="54"/>
        <v>0</v>
      </c>
      <c r="DM69" s="177">
        <f t="shared" si="54"/>
        <v>0</v>
      </c>
      <c r="DN69" s="177">
        <f t="shared" si="54"/>
        <v>0</v>
      </c>
      <c r="DO69" s="177">
        <f t="shared" si="54"/>
        <v>0</v>
      </c>
      <c r="DP69" s="177">
        <f t="shared" si="54"/>
        <v>0</v>
      </c>
      <c r="DQ69" s="177">
        <f t="shared" si="54"/>
        <v>0</v>
      </c>
      <c r="DR69" s="177">
        <f t="shared" si="54"/>
        <v>0</v>
      </c>
      <c r="DS69" s="177">
        <f t="shared" si="54"/>
        <v>0</v>
      </c>
      <c r="DT69" s="177">
        <f t="shared" si="54"/>
        <v>0</v>
      </c>
      <c r="DU69" s="177">
        <f t="shared" si="54"/>
        <v>0</v>
      </c>
      <c r="DV69" s="177">
        <f t="shared" si="54"/>
        <v>0</v>
      </c>
      <c r="DW69" s="177">
        <f t="shared" si="54"/>
        <v>0</v>
      </c>
      <c r="DX69" s="177">
        <f t="shared" si="54"/>
        <v>0</v>
      </c>
      <c r="DY69" s="177">
        <f t="shared" si="54"/>
        <v>0</v>
      </c>
      <c r="DZ69" s="177">
        <f t="shared" si="54"/>
        <v>0</v>
      </c>
      <c r="EA69" s="177">
        <f t="shared" si="54"/>
        <v>0</v>
      </c>
      <c r="EB69" s="177">
        <f t="shared" ref="EB69:FR69" si="55">EB68/4</f>
        <v>0</v>
      </c>
      <c r="EC69" s="177">
        <f t="shared" si="55"/>
        <v>0</v>
      </c>
      <c r="ED69" s="177">
        <f t="shared" si="55"/>
        <v>0</v>
      </c>
      <c r="EE69" s="177">
        <f t="shared" si="55"/>
        <v>0</v>
      </c>
      <c r="EF69" s="177">
        <f t="shared" si="55"/>
        <v>0</v>
      </c>
      <c r="EG69" s="177">
        <f t="shared" si="55"/>
        <v>0</v>
      </c>
      <c r="EH69" s="177">
        <f t="shared" si="55"/>
        <v>0</v>
      </c>
      <c r="EI69" s="177">
        <f t="shared" si="55"/>
        <v>0</v>
      </c>
      <c r="EJ69" s="177">
        <f t="shared" si="55"/>
        <v>0</v>
      </c>
      <c r="EK69" s="177">
        <f t="shared" si="55"/>
        <v>0</v>
      </c>
      <c r="EL69" s="177">
        <f t="shared" si="55"/>
        <v>0</v>
      </c>
      <c r="EM69" s="177">
        <f t="shared" si="55"/>
        <v>0</v>
      </c>
      <c r="EN69" s="177">
        <f t="shared" si="55"/>
        <v>0</v>
      </c>
      <c r="EO69" s="177">
        <f t="shared" si="55"/>
        <v>0</v>
      </c>
      <c r="EP69" s="177">
        <f t="shared" si="55"/>
        <v>0</v>
      </c>
      <c r="EQ69" s="177">
        <f t="shared" si="55"/>
        <v>0</v>
      </c>
      <c r="ER69" s="177">
        <f t="shared" si="55"/>
        <v>0</v>
      </c>
      <c r="ES69" s="177">
        <f t="shared" si="55"/>
        <v>0</v>
      </c>
      <c r="ET69" s="177">
        <f t="shared" si="55"/>
        <v>0</v>
      </c>
      <c r="EU69" s="177">
        <f t="shared" si="55"/>
        <v>0</v>
      </c>
      <c r="EV69" s="177">
        <f t="shared" si="55"/>
        <v>0</v>
      </c>
      <c r="EW69" s="177">
        <f t="shared" si="55"/>
        <v>0</v>
      </c>
      <c r="EX69" s="177">
        <f t="shared" si="55"/>
        <v>0</v>
      </c>
      <c r="EY69" s="177">
        <f t="shared" si="55"/>
        <v>0</v>
      </c>
      <c r="EZ69" s="177">
        <f t="shared" si="55"/>
        <v>0</v>
      </c>
      <c r="FA69" s="177">
        <f t="shared" si="55"/>
        <v>0</v>
      </c>
      <c r="FB69" s="177">
        <f t="shared" si="55"/>
        <v>0</v>
      </c>
      <c r="FC69" s="177">
        <f t="shared" si="55"/>
        <v>0</v>
      </c>
      <c r="FD69" s="177">
        <f t="shared" si="55"/>
        <v>0</v>
      </c>
      <c r="FE69" s="177">
        <f t="shared" si="55"/>
        <v>0</v>
      </c>
      <c r="FF69" s="177">
        <f t="shared" si="55"/>
        <v>0</v>
      </c>
      <c r="FG69" s="177">
        <f t="shared" si="55"/>
        <v>0</v>
      </c>
      <c r="FH69" s="177">
        <f t="shared" si="55"/>
        <v>0</v>
      </c>
      <c r="FI69" s="177">
        <f t="shared" si="55"/>
        <v>0</v>
      </c>
      <c r="FJ69" s="177">
        <f t="shared" si="55"/>
        <v>0</v>
      </c>
      <c r="FK69" s="177">
        <f t="shared" si="55"/>
        <v>0</v>
      </c>
      <c r="FL69" s="177">
        <f t="shared" si="55"/>
        <v>0</v>
      </c>
      <c r="FM69" s="177">
        <f t="shared" si="55"/>
        <v>0</v>
      </c>
      <c r="FN69" s="177">
        <f t="shared" si="55"/>
        <v>0</v>
      </c>
      <c r="FO69" s="177">
        <f t="shared" si="55"/>
        <v>0</v>
      </c>
      <c r="FP69" s="177">
        <f t="shared" si="55"/>
        <v>0</v>
      </c>
      <c r="FQ69" s="177">
        <f t="shared" si="55"/>
        <v>0</v>
      </c>
      <c r="FR69" s="177">
        <f t="shared" si="55"/>
        <v>0</v>
      </c>
    </row>
    <row r="70" spans="1:174" ht="15" customHeight="1" x14ac:dyDescent="0.3">
      <c r="A70" s="126"/>
      <c r="B70" s="172"/>
      <c r="C70" s="178"/>
      <c r="D70" s="178"/>
      <c r="E70" s="178"/>
      <c r="F70" s="178"/>
      <c r="G70" s="178"/>
      <c r="H70" s="178"/>
      <c r="I70" s="178"/>
      <c r="J70" s="178"/>
      <c r="K70" s="178"/>
      <c r="L70" s="178"/>
      <c r="M70" s="178"/>
      <c r="N70" s="178"/>
      <c r="O70" s="178"/>
      <c r="P70" s="178"/>
      <c r="Q70" s="178"/>
      <c r="R70" s="178"/>
      <c r="S70" s="178"/>
      <c r="T70" s="178"/>
      <c r="U70" s="178"/>
      <c r="V70" s="178"/>
      <c r="W70" s="178"/>
      <c r="X70" s="178"/>
      <c r="Y70" s="178"/>
      <c r="Z70" s="178"/>
      <c r="AA70" s="178"/>
      <c r="AB70" s="178"/>
      <c r="AC70" s="178"/>
      <c r="AD70" s="178"/>
      <c r="AE70" s="178"/>
      <c r="AF70" s="178"/>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178"/>
      <c r="BI70" s="178"/>
      <c r="BJ70" s="178"/>
      <c r="BK70" s="178"/>
      <c r="BL70" s="178"/>
      <c r="BM70" s="178"/>
      <c r="BN70" s="178"/>
      <c r="BO70" s="178"/>
      <c r="BP70" s="178"/>
      <c r="BQ70" s="178"/>
      <c r="BR70" s="178"/>
      <c r="BS70" s="178"/>
      <c r="BT70" s="178"/>
      <c r="BU70" s="178"/>
      <c r="BV70" s="178"/>
      <c r="BW70" s="178"/>
      <c r="BX70" s="178"/>
      <c r="BY70" s="178"/>
      <c r="BZ70" s="178"/>
      <c r="CA70" s="178"/>
      <c r="CB70" s="178"/>
      <c r="CC70" s="178"/>
      <c r="CD70" s="178"/>
      <c r="CE70" s="178"/>
      <c r="CF70" s="178"/>
      <c r="CG70" s="178"/>
      <c r="CH70" s="178"/>
      <c r="CI70" s="178"/>
      <c r="CJ70" s="178"/>
      <c r="CK70" s="178"/>
      <c r="CL70" s="178"/>
      <c r="CM70" s="178"/>
      <c r="CN70" s="178"/>
      <c r="CO70" s="178"/>
      <c r="CP70" s="178"/>
      <c r="CQ70" s="178"/>
      <c r="CR70" s="178"/>
      <c r="CS70" s="178"/>
      <c r="CT70" s="178"/>
      <c r="CU70" s="178"/>
      <c r="CV70" s="178"/>
      <c r="CW70" s="178"/>
      <c r="CX70" s="178"/>
      <c r="CY70" s="178"/>
      <c r="CZ70" s="178"/>
      <c r="DA70" s="178"/>
      <c r="DB70" s="178"/>
      <c r="DC70" s="178"/>
      <c r="DD70" s="178"/>
      <c r="DE70" s="178"/>
      <c r="DF70" s="178"/>
      <c r="DG70" s="178"/>
      <c r="DH70" s="178"/>
      <c r="DI70" s="178"/>
      <c r="DJ70" s="178"/>
      <c r="DK70" s="178"/>
      <c r="DL70" s="178"/>
      <c r="DM70" s="178"/>
      <c r="DN70" s="178"/>
      <c r="DO70" s="178"/>
      <c r="DP70" s="178"/>
      <c r="DQ70" s="178"/>
      <c r="DR70" s="178"/>
      <c r="DS70" s="178"/>
      <c r="DT70" s="178"/>
      <c r="DU70" s="178"/>
      <c r="DV70" s="178"/>
      <c r="DW70" s="178"/>
      <c r="DX70" s="178"/>
      <c r="DY70" s="178"/>
      <c r="DZ70" s="178"/>
      <c r="EA70" s="178"/>
      <c r="EB70" s="178"/>
      <c r="EC70" s="178"/>
      <c r="ED70" s="178"/>
      <c r="EE70" s="178"/>
      <c r="EF70" s="178"/>
      <c r="EG70" s="178"/>
      <c r="EH70" s="178"/>
      <c r="EI70" s="178"/>
      <c r="EJ70" s="178"/>
      <c r="EK70" s="178"/>
      <c r="EL70" s="178"/>
      <c r="EM70" s="178"/>
      <c r="EN70" s="178"/>
      <c r="EO70" s="178"/>
      <c r="EP70" s="178"/>
      <c r="EQ70" s="178"/>
      <c r="ER70" s="178"/>
      <c r="ES70" s="178"/>
      <c r="ET70" s="178"/>
      <c r="EU70" s="178"/>
      <c r="EV70" s="178"/>
      <c r="EW70" s="178"/>
      <c r="EX70" s="178"/>
      <c r="EY70" s="178"/>
      <c r="EZ70" s="178"/>
      <c r="FA70" s="178"/>
      <c r="FB70" s="178"/>
      <c r="FC70" s="178"/>
      <c r="FD70" s="178"/>
      <c r="FE70" s="178"/>
      <c r="FF70" s="178"/>
      <c r="FG70" s="178"/>
      <c r="FH70" s="178"/>
      <c r="FI70" s="178"/>
      <c r="FJ70" s="178"/>
      <c r="FK70" s="178"/>
      <c r="FL70" s="178"/>
      <c r="FM70" s="178"/>
      <c r="FN70" s="178"/>
      <c r="FO70" s="178"/>
      <c r="FP70" s="178"/>
      <c r="FQ70" s="178"/>
      <c r="FR70" s="178"/>
    </row>
    <row r="71" spans="1:174" ht="14.4" thickBot="1" x14ac:dyDescent="0.35">
      <c r="A71" s="123">
        <v>1.8</v>
      </c>
      <c r="B71" s="124" t="s">
        <v>16</v>
      </c>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127"/>
      <c r="AB71" s="127"/>
      <c r="AC71" s="127"/>
      <c r="AD71" s="127"/>
      <c r="AE71" s="127"/>
      <c r="AF71" s="127"/>
      <c r="AG71" s="127"/>
      <c r="AH71" s="127"/>
      <c r="AI71" s="127"/>
      <c r="AJ71" s="127"/>
      <c r="AK71" s="127"/>
      <c r="AL71" s="127"/>
      <c r="AM71" s="127"/>
      <c r="AN71" s="127"/>
      <c r="AO71" s="127"/>
      <c r="AP71" s="127"/>
      <c r="AQ71" s="127"/>
      <c r="AR71" s="127"/>
      <c r="AS71" s="127"/>
      <c r="AT71" s="127"/>
      <c r="AU71" s="127"/>
      <c r="AV71" s="127"/>
      <c r="AW71" s="127"/>
      <c r="AX71" s="127"/>
      <c r="AY71" s="127"/>
      <c r="AZ71" s="127"/>
      <c r="BA71" s="127"/>
      <c r="BB71" s="127"/>
      <c r="BC71" s="127"/>
      <c r="BD71" s="127"/>
      <c r="BE71" s="127"/>
      <c r="BF71" s="127"/>
      <c r="BG71" s="127"/>
      <c r="BH71" s="127"/>
      <c r="BI71" s="127"/>
      <c r="BJ71" s="127"/>
      <c r="BK71" s="127"/>
      <c r="BL71" s="127"/>
      <c r="BM71" s="127"/>
      <c r="BN71" s="127"/>
      <c r="BO71" s="127"/>
      <c r="BP71" s="127"/>
      <c r="BQ71" s="127"/>
      <c r="BR71" s="127"/>
      <c r="BS71" s="127"/>
      <c r="BT71" s="127"/>
      <c r="BU71" s="127"/>
      <c r="BV71" s="127"/>
      <c r="BW71" s="127"/>
      <c r="BX71" s="127"/>
      <c r="BY71" s="127"/>
      <c r="BZ71" s="127"/>
      <c r="CA71" s="127"/>
      <c r="CB71" s="127"/>
      <c r="CC71" s="127"/>
      <c r="CD71" s="127"/>
      <c r="CE71" s="127"/>
      <c r="CF71" s="127"/>
      <c r="CG71" s="127"/>
      <c r="CH71" s="127"/>
      <c r="CI71" s="127"/>
      <c r="CJ71" s="127"/>
      <c r="CK71" s="127"/>
      <c r="CL71" s="127"/>
      <c r="CM71" s="127"/>
      <c r="CN71" s="127"/>
      <c r="CO71" s="127"/>
      <c r="CP71" s="127"/>
      <c r="CQ71" s="127"/>
      <c r="CR71" s="127"/>
      <c r="CS71" s="127"/>
      <c r="CT71" s="127"/>
      <c r="CU71" s="127"/>
      <c r="CV71" s="127"/>
      <c r="CW71" s="127"/>
      <c r="CX71" s="127"/>
      <c r="CY71" s="127"/>
      <c r="CZ71" s="127"/>
      <c r="DA71" s="127"/>
      <c r="DB71" s="127"/>
      <c r="DC71" s="127"/>
      <c r="DD71" s="127"/>
      <c r="DE71" s="127"/>
      <c r="DF71" s="127"/>
      <c r="DG71" s="127"/>
      <c r="DH71" s="127"/>
      <c r="DI71" s="127"/>
      <c r="DJ71" s="127"/>
      <c r="DK71" s="127"/>
      <c r="DL71" s="127"/>
      <c r="DM71" s="127"/>
      <c r="DN71" s="127"/>
      <c r="DO71" s="127"/>
      <c r="DP71" s="127"/>
      <c r="DQ71" s="127"/>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c r="EN71" s="127"/>
      <c r="EO71" s="127"/>
      <c r="EP71" s="127"/>
      <c r="EQ71" s="127"/>
      <c r="ER71" s="127"/>
      <c r="ES71" s="127"/>
      <c r="ET71" s="127"/>
      <c r="EU71" s="127"/>
      <c r="EV71" s="127"/>
      <c r="EW71" s="127"/>
      <c r="EX71" s="127"/>
      <c r="EY71" s="127"/>
      <c r="EZ71" s="127"/>
      <c r="FA71" s="127"/>
      <c r="FB71" s="127"/>
      <c r="FC71" s="127"/>
      <c r="FD71" s="127"/>
      <c r="FE71" s="127"/>
      <c r="FF71" s="127"/>
      <c r="FG71" s="127"/>
      <c r="FH71" s="127"/>
      <c r="FI71" s="127"/>
      <c r="FJ71" s="127"/>
      <c r="FK71" s="127"/>
      <c r="FL71" s="127"/>
      <c r="FM71" s="127"/>
      <c r="FN71" s="127"/>
      <c r="FO71" s="127"/>
      <c r="FP71" s="127"/>
      <c r="FQ71" s="127"/>
      <c r="FR71" s="127"/>
    </row>
    <row r="72" spans="1:174" ht="25.05" customHeight="1" x14ac:dyDescent="0.3">
      <c r="A72" s="164" t="s">
        <v>22</v>
      </c>
      <c r="B72" s="165" t="s">
        <v>51</v>
      </c>
      <c r="C72" s="125">
        <v>9</v>
      </c>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c r="BC72" s="125"/>
      <c r="BD72" s="125"/>
      <c r="BE72" s="125"/>
      <c r="BF72" s="125"/>
      <c r="BG72" s="125"/>
      <c r="BH72" s="125"/>
      <c r="BI72" s="125"/>
      <c r="BJ72" s="125"/>
      <c r="BK72" s="125"/>
      <c r="BL72" s="125"/>
      <c r="BM72" s="125"/>
      <c r="BN72" s="125"/>
      <c r="BO72" s="125"/>
      <c r="BP72" s="125"/>
      <c r="BQ72" s="125"/>
      <c r="BR72" s="125"/>
      <c r="BS72" s="125"/>
      <c r="BT72" s="125"/>
      <c r="BU72" s="125"/>
      <c r="BV72" s="125"/>
      <c r="BW72" s="125"/>
      <c r="BX72" s="125"/>
      <c r="BY72" s="125"/>
      <c r="BZ72" s="125"/>
      <c r="CA72" s="125"/>
      <c r="CB72" s="125"/>
      <c r="CC72" s="125"/>
      <c r="CD72" s="125"/>
      <c r="CE72" s="125"/>
      <c r="CF72" s="125"/>
      <c r="CG72" s="125"/>
      <c r="CH72" s="125"/>
      <c r="CI72" s="125"/>
      <c r="CJ72" s="125"/>
      <c r="CK72" s="125"/>
      <c r="CL72" s="125"/>
      <c r="CM72" s="125"/>
      <c r="CN72" s="125"/>
      <c r="CO72" s="125"/>
      <c r="CP72" s="125"/>
      <c r="CQ72" s="125"/>
      <c r="CR72" s="125"/>
      <c r="CS72" s="125"/>
      <c r="CT72" s="125"/>
      <c r="CU72" s="125"/>
      <c r="CV72" s="125"/>
      <c r="CW72" s="125"/>
      <c r="CX72" s="125"/>
      <c r="CY72" s="125"/>
      <c r="CZ72" s="125"/>
      <c r="DA72" s="125"/>
      <c r="DB72" s="125"/>
      <c r="DC72" s="125"/>
      <c r="DD72" s="125"/>
      <c r="DE72" s="125"/>
      <c r="DF72" s="125"/>
      <c r="DG72" s="125"/>
      <c r="DH72" s="125"/>
      <c r="DI72" s="125"/>
      <c r="DJ72" s="125"/>
      <c r="DK72" s="125"/>
      <c r="DL72" s="125"/>
      <c r="DM72" s="125"/>
      <c r="DN72" s="125"/>
      <c r="DO72" s="125"/>
      <c r="DP72" s="125"/>
      <c r="DQ72" s="125"/>
      <c r="DR72" s="125"/>
      <c r="DS72" s="125"/>
      <c r="DT72" s="125"/>
      <c r="DU72" s="125"/>
      <c r="DV72" s="125"/>
      <c r="DW72" s="125"/>
      <c r="DX72" s="125"/>
      <c r="DY72" s="125"/>
      <c r="DZ72" s="125"/>
      <c r="EA72" s="125"/>
      <c r="EB72" s="125"/>
      <c r="EC72" s="125"/>
      <c r="ED72" s="125"/>
      <c r="EE72" s="125"/>
      <c r="EF72" s="125"/>
      <c r="EG72" s="125"/>
      <c r="EH72" s="125"/>
      <c r="EI72" s="125"/>
      <c r="EJ72" s="125"/>
      <c r="EK72" s="125"/>
      <c r="EL72" s="125"/>
      <c r="EM72" s="125"/>
      <c r="EN72" s="125"/>
      <c r="EO72" s="125"/>
      <c r="EP72" s="125"/>
      <c r="EQ72" s="125"/>
      <c r="ER72" s="125"/>
      <c r="ES72" s="125"/>
      <c r="ET72" s="125"/>
      <c r="EU72" s="125"/>
      <c r="EV72" s="125"/>
      <c r="EW72" s="125"/>
      <c r="EX72" s="125"/>
      <c r="EY72" s="125"/>
      <c r="EZ72" s="125"/>
      <c r="FA72" s="125"/>
      <c r="FB72" s="125"/>
      <c r="FC72" s="125"/>
      <c r="FD72" s="125"/>
      <c r="FE72" s="125"/>
      <c r="FF72" s="125"/>
      <c r="FG72" s="125"/>
      <c r="FH72" s="125"/>
      <c r="FI72" s="125"/>
      <c r="FJ72" s="125"/>
      <c r="FK72" s="125"/>
      <c r="FL72" s="125"/>
      <c r="FM72" s="125"/>
      <c r="FN72" s="125"/>
      <c r="FO72" s="125"/>
      <c r="FP72" s="125"/>
      <c r="FQ72" s="125"/>
      <c r="FR72" s="125"/>
    </row>
    <row r="73" spans="1:174" ht="25.05" customHeight="1" x14ac:dyDescent="0.3">
      <c r="A73" s="166" t="s">
        <v>24</v>
      </c>
      <c r="B73" s="167" t="s">
        <v>136</v>
      </c>
      <c r="C73" s="125">
        <v>9</v>
      </c>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5"/>
      <c r="DT73" s="125"/>
      <c r="DU73" s="125"/>
      <c r="DV73" s="125"/>
      <c r="DW73" s="125"/>
      <c r="DX73" s="125"/>
      <c r="DY73" s="125"/>
      <c r="DZ73" s="125"/>
      <c r="EA73" s="125"/>
      <c r="EB73" s="125"/>
      <c r="EC73" s="125"/>
      <c r="ED73" s="125"/>
      <c r="EE73" s="125"/>
      <c r="EF73" s="125"/>
      <c r="EG73" s="125"/>
      <c r="EH73" s="125"/>
      <c r="EI73" s="125"/>
      <c r="EJ73" s="125"/>
      <c r="EK73" s="125"/>
      <c r="EL73" s="125"/>
      <c r="EM73" s="125"/>
      <c r="EN73" s="125"/>
      <c r="EO73" s="125"/>
      <c r="EP73" s="125"/>
      <c r="EQ73" s="125"/>
      <c r="ER73" s="125"/>
      <c r="ES73" s="125"/>
      <c r="ET73" s="125"/>
      <c r="EU73" s="125"/>
      <c r="EV73" s="125"/>
      <c r="EW73" s="125"/>
      <c r="EX73" s="125"/>
      <c r="EY73" s="125"/>
      <c r="EZ73" s="125"/>
      <c r="FA73" s="125"/>
      <c r="FB73" s="125"/>
      <c r="FC73" s="125"/>
      <c r="FD73" s="125"/>
      <c r="FE73" s="125"/>
      <c r="FF73" s="125"/>
      <c r="FG73" s="125"/>
      <c r="FH73" s="125"/>
      <c r="FI73" s="125"/>
      <c r="FJ73" s="125"/>
      <c r="FK73" s="125"/>
      <c r="FL73" s="125"/>
      <c r="FM73" s="125"/>
      <c r="FN73" s="125"/>
      <c r="FO73" s="125"/>
      <c r="FP73" s="125"/>
      <c r="FQ73" s="125"/>
      <c r="FR73" s="125"/>
    </row>
    <row r="74" spans="1:174" ht="25.05" customHeight="1" x14ac:dyDescent="0.3">
      <c r="A74" s="166" t="s">
        <v>26</v>
      </c>
      <c r="B74" s="167" t="s">
        <v>52</v>
      </c>
      <c r="C74" s="125">
        <v>9</v>
      </c>
      <c r="D74" s="125"/>
      <c r="E74" s="125"/>
      <c r="F74" s="125"/>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c r="AD74" s="125"/>
      <c r="AE74" s="125"/>
      <c r="AF74" s="125"/>
      <c r="AG74" s="125"/>
      <c r="AH74" s="125"/>
      <c r="AI74" s="125"/>
      <c r="AJ74" s="125"/>
      <c r="AK74" s="125"/>
      <c r="AL74" s="125"/>
      <c r="AM74" s="125"/>
      <c r="AN74" s="125"/>
      <c r="AO74" s="125"/>
      <c r="AP74" s="125"/>
      <c r="AQ74" s="125"/>
      <c r="AR74" s="125"/>
      <c r="AS74" s="125"/>
      <c r="AT74" s="125"/>
      <c r="AU74" s="125"/>
      <c r="AV74" s="125"/>
      <c r="AW74" s="125"/>
      <c r="AX74" s="125"/>
      <c r="AY74" s="125"/>
      <c r="AZ74" s="125"/>
      <c r="BA74" s="125"/>
      <c r="BB74" s="125"/>
      <c r="BC74" s="125"/>
      <c r="BD74" s="125"/>
      <c r="BE74" s="125"/>
      <c r="BF74" s="125"/>
      <c r="BG74" s="125"/>
      <c r="BH74" s="125"/>
      <c r="BI74" s="125"/>
      <c r="BJ74" s="125"/>
      <c r="BK74" s="125"/>
      <c r="BL74" s="125"/>
      <c r="BM74" s="125"/>
      <c r="BN74" s="125"/>
      <c r="BO74" s="125"/>
      <c r="BP74" s="125"/>
      <c r="BQ74" s="125"/>
      <c r="BR74" s="125"/>
      <c r="BS74" s="125"/>
      <c r="BT74" s="125"/>
      <c r="BU74" s="125"/>
      <c r="BV74" s="125"/>
      <c r="BW74" s="125"/>
      <c r="BX74" s="125"/>
      <c r="BY74" s="125"/>
      <c r="BZ74" s="125"/>
      <c r="CA74" s="125"/>
      <c r="CB74" s="125"/>
      <c r="CC74" s="125"/>
      <c r="CD74" s="125"/>
      <c r="CE74" s="125"/>
      <c r="CF74" s="125"/>
      <c r="CG74" s="125"/>
      <c r="CH74" s="125"/>
      <c r="CI74" s="125"/>
      <c r="CJ74" s="125"/>
      <c r="CK74" s="125"/>
      <c r="CL74" s="125"/>
      <c r="CM74" s="125"/>
      <c r="CN74" s="125"/>
      <c r="CO74" s="125"/>
      <c r="CP74" s="125"/>
      <c r="CQ74" s="125"/>
      <c r="CR74" s="125"/>
      <c r="CS74" s="125"/>
      <c r="CT74" s="125"/>
      <c r="CU74" s="125"/>
      <c r="CV74" s="125"/>
      <c r="CW74" s="125"/>
      <c r="CX74" s="125"/>
      <c r="CY74" s="125"/>
      <c r="CZ74" s="125"/>
      <c r="DA74" s="125"/>
      <c r="DB74" s="125"/>
      <c r="DC74" s="125"/>
      <c r="DD74" s="125"/>
      <c r="DE74" s="125"/>
      <c r="DF74" s="125"/>
      <c r="DG74" s="125"/>
      <c r="DH74" s="125"/>
      <c r="DI74" s="125"/>
      <c r="DJ74" s="125"/>
      <c r="DK74" s="125"/>
      <c r="DL74" s="125"/>
      <c r="DM74" s="125"/>
      <c r="DN74" s="125"/>
      <c r="DO74" s="125"/>
      <c r="DP74" s="125"/>
      <c r="DQ74" s="125"/>
      <c r="DR74" s="125"/>
      <c r="DS74" s="125"/>
      <c r="DT74" s="125"/>
      <c r="DU74" s="125"/>
      <c r="DV74" s="125"/>
      <c r="DW74" s="125"/>
      <c r="DX74" s="125"/>
      <c r="DY74" s="125"/>
      <c r="DZ74" s="125"/>
      <c r="EA74" s="125"/>
      <c r="EB74" s="125"/>
      <c r="EC74" s="125"/>
      <c r="ED74" s="125"/>
      <c r="EE74" s="125"/>
      <c r="EF74" s="125"/>
      <c r="EG74" s="125"/>
      <c r="EH74" s="125"/>
      <c r="EI74" s="125"/>
      <c r="EJ74" s="125"/>
      <c r="EK74" s="125"/>
      <c r="EL74" s="125"/>
      <c r="EM74" s="125"/>
      <c r="EN74" s="125"/>
      <c r="EO74" s="125"/>
      <c r="EP74" s="125"/>
      <c r="EQ74" s="125"/>
      <c r="ER74" s="125"/>
      <c r="ES74" s="125"/>
      <c r="ET74" s="125"/>
      <c r="EU74" s="125"/>
      <c r="EV74" s="125"/>
      <c r="EW74" s="125"/>
      <c r="EX74" s="125"/>
      <c r="EY74" s="125"/>
      <c r="EZ74" s="125"/>
      <c r="FA74" s="125"/>
      <c r="FB74" s="125"/>
      <c r="FC74" s="125"/>
      <c r="FD74" s="125"/>
      <c r="FE74" s="125"/>
      <c r="FF74" s="125"/>
      <c r="FG74" s="125"/>
      <c r="FH74" s="125"/>
      <c r="FI74" s="125"/>
      <c r="FJ74" s="125"/>
      <c r="FK74" s="125"/>
      <c r="FL74" s="125"/>
      <c r="FM74" s="125"/>
      <c r="FN74" s="125"/>
      <c r="FO74" s="125"/>
      <c r="FP74" s="125"/>
      <c r="FQ74" s="125"/>
      <c r="FR74" s="125"/>
    </row>
    <row r="75" spans="1:174" ht="15" customHeight="1" x14ac:dyDescent="0.3">
      <c r="A75" s="168"/>
      <c r="B75" s="174" t="s">
        <v>32</v>
      </c>
      <c r="C75" s="176">
        <f>SUM(C72:C74)</f>
        <v>27</v>
      </c>
      <c r="D75" s="176">
        <f t="shared" ref="D75:BO75" si="56">SUM(D72:D74)</f>
        <v>0</v>
      </c>
      <c r="E75" s="176">
        <f t="shared" si="56"/>
        <v>0</v>
      </c>
      <c r="F75" s="176">
        <f t="shared" si="56"/>
        <v>0</v>
      </c>
      <c r="G75" s="176">
        <f t="shared" si="56"/>
        <v>0</v>
      </c>
      <c r="H75" s="176">
        <f t="shared" si="56"/>
        <v>0</v>
      </c>
      <c r="I75" s="176">
        <f t="shared" si="56"/>
        <v>0</v>
      </c>
      <c r="J75" s="176">
        <f t="shared" si="56"/>
        <v>0</v>
      </c>
      <c r="K75" s="176">
        <f t="shared" si="56"/>
        <v>0</v>
      </c>
      <c r="L75" s="176">
        <f t="shared" si="56"/>
        <v>0</v>
      </c>
      <c r="M75" s="176">
        <f t="shared" si="56"/>
        <v>0</v>
      </c>
      <c r="N75" s="176">
        <f t="shared" si="56"/>
        <v>0</v>
      </c>
      <c r="O75" s="176">
        <f t="shared" si="56"/>
        <v>0</v>
      </c>
      <c r="P75" s="176">
        <f t="shared" si="56"/>
        <v>0</v>
      </c>
      <c r="Q75" s="176">
        <f t="shared" si="56"/>
        <v>0</v>
      </c>
      <c r="R75" s="176">
        <f t="shared" si="56"/>
        <v>0</v>
      </c>
      <c r="S75" s="176">
        <f t="shared" si="56"/>
        <v>0</v>
      </c>
      <c r="T75" s="176">
        <f t="shared" si="56"/>
        <v>0</v>
      </c>
      <c r="U75" s="176">
        <f t="shared" si="56"/>
        <v>0</v>
      </c>
      <c r="V75" s="176">
        <f t="shared" si="56"/>
        <v>0</v>
      </c>
      <c r="W75" s="176">
        <f t="shared" si="56"/>
        <v>0</v>
      </c>
      <c r="X75" s="176">
        <f t="shared" si="56"/>
        <v>0</v>
      </c>
      <c r="Y75" s="176">
        <f t="shared" si="56"/>
        <v>0</v>
      </c>
      <c r="Z75" s="176">
        <f t="shared" si="56"/>
        <v>0</v>
      </c>
      <c r="AA75" s="176">
        <f t="shared" si="56"/>
        <v>0</v>
      </c>
      <c r="AB75" s="176">
        <f t="shared" si="56"/>
        <v>0</v>
      </c>
      <c r="AC75" s="176">
        <f t="shared" si="56"/>
        <v>0</v>
      </c>
      <c r="AD75" s="176">
        <f t="shared" si="56"/>
        <v>0</v>
      </c>
      <c r="AE75" s="176">
        <f t="shared" si="56"/>
        <v>0</v>
      </c>
      <c r="AF75" s="176">
        <f t="shared" si="56"/>
        <v>0</v>
      </c>
      <c r="AG75" s="176">
        <f t="shared" si="56"/>
        <v>0</v>
      </c>
      <c r="AH75" s="176">
        <f t="shared" si="56"/>
        <v>0</v>
      </c>
      <c r="AI75" s="176">
        <f t="shared" si="56"/>
        <v>0</v>
      </c>
      <c r="AJ75" s="176">
        <f t="shared" si="56"/>
        <v>0</v>
      </c>
      <c r="AK75" s="176">
        <f t="shared" si="56"/>
        <v>0</v>
      </c>
      <c r="AL75" s="176">
        <f t="shared" si="56"/>
        <v>0</v>
      </c>
      <c r="AM75" s="176">
        <f t="shared" si="56"/>
        <v>0</v>
      </c>
      <c r="AN75" s="176">
        <f t="shared" si="56"/>
        <v>0</v>
      </c>
      <c r="AO75" s="176">
        <f t="shared" si="56"/>
        <v>0</v>
      </c>
      <c r="AP75" s="176">
        <f t="shared" si="56"/>
        <v>0</v>
      </c>
      <c r="AQ75" s="176">
        <f t="shared" si="56"/>
        <v>0</v>
      </c>
      <c r="AR75" s="176">
        <f t="shared" si="56"/>
        <v>0</v>
      </c>
      <c r="AS75" s="176">
        <f t="shared" si="56"/>
        <v>0</v>
      </c>
      <c r="AT75" s="176">
        <f t="shared" si="56"/>
        <v>0</v>
      </c>
      <c r="AU75" s="176">
        <f t="shared" si="56"/>
        <v>0</v>
      </c>
      <c r="AV75" s="176">
        <f t="shared" si="56"/>
        <v>0</v>
      </c>
      <c r="AW75" s="176">
        <f t="shared" si="56"/>
        <v>0</v>
      </c>
      <c r="AX75" s="176">
        <f t="shared" si="56"/>
        <v>0</v>
      </c>
      <c r="AY75" s="176">
        <f t="shared" si="56"/>
        <v>0</v>
      </c>
      <c r="AZ75" s="176">
        <f t="shared" si="56"/>
        <v>0</v>
      </c>
      <c r="BA75" s="176">
        <f t="shared" si="56"/>
        <v>0</v>
      </c>
      <c r="BB75" s="176">
        <f t="shared" si="56"/>
        <v>0</v>
      </c>
      <c r="BC75" s="176">
        <f t="shared" si="56"/>
        <v>0</v>
      </c>
      <c r="BD75" s="176">
        <f t="shared" si="56"/>
        <v>0</v>
      </c>
      <c r="BE75" s="176">
        <f t="shared" si="56"/>
        <v>0</v>
      </c>
      <c r="BF75" s="176">
        <f t="shared" si="56"/>
        <v>0</v>
      </c>
      <c r="BG75" s="176">
        <f t="shared" si="56"/>
        <v>0</v>
      </c>
      <c r="BH75" s="176">
        <f t="shared" si="56"/>
        <v>0</v>
      </c>
      <c r="BI75" s="176">
        <f t="shared" si="56"/>
        <v>0</v>
      </c>
      <c r="BJ75" s="176">
        <f t="shared" si="56"/>
        <v>0</v>
      </c>
      <c r="BK75" s="176">
        <f t="shared" si="56"/>
        <v>0</v>
      </c>
      <c r="BL75" s="176">
        <f t="shared" si="56"/>
        <v>0</v>
      </c>
      <c r="BM75" s="176">
        <f t="shared" si="56"/>
        <v>0</v>
      </c>
      <c r="BN75" s="176">
        <f t="shared" si="56"/>
        <v>0</v>
      </c>
      <c r="BO75" s="176">
        <f t="shared" si="56"/>
        <v>0</v>
      </c>
      <c r="BP75" s="176">
        <f t="shared" ref="BP75:EA75" si="57">SUM(BP72:BP74)</f>
        <v>0</v>
      </c>
      <c r="BQ75" s="176">
        <f t="shared" si="57"/>
        <v>0</v>
      </c>
      <c r="BR75" s="176">
        <f t="shared" si="57"/>
        <v>0</v>
      </c>
      <c r="BS75" s="176">
        <f t="shared" si="57"/>
        <v>0</v>
      </c>
      <c r="BT75" s="176">
        <f t="shared" si="57"/>
        <v>0</v>
      </c>
      <c r="BU75" s="176">
        <f t="shared" si="57"/>
        <v>0</v>
      </c>
      <c r="BV75" s="176">
        <f t="shared" si="57"/>
        <v>0</v>
      </c>
      <c r="BW75" s="176">
        <f t="shared" si="57"/>
        <v>0</v>
      </c>
      <c r="BX75" s="176">
        <f t="shared" si="57"/>
        <v>0</v>
      </c>
      <c r="BY75" s="176">
        <f t="shared" si="57"/>
        <v>0</v>
      </c>
      <c r="BZ75" s="176">
        <f t="shared" si="57"/>
        <v>0</v>
      </c>
      <c r="CA75" s="176">
        <f t="shared" si="57"/>
        <v>0</v>
      </c>
      <c r="CB75" s="176">
        <f t="shared" si="57"/>
        <v>0</v>
      </c>
      <c r="CC75" s="176">
        <f t="shared" si="57"/>
        <v>0</v>
      </c>
      <c r="CD75" s="176">
        <f t="shared" si="57"/>
        <v>0</v>
      </c>
      <c r="CE75" s="176">
        <f t="shared" si="57"/>
        <v>0</v>
      </c>
      <c r="CF75" s="176">
        <f t="shared" si="57"/>
        <v>0</v>
      </c>
      <c r="CG75" s="176">
        <f t="shared" si="57"/>
        <v>0</v>
      </c>
      <c r="CH75" s="176">
        <f t="shared" si="57"/>
        <v>0</v>
      </c>
      <c r="CI75" s="176">
        <f t="shared" si="57"/>
        <v>0</v>
      </c>
      <c r="CJ75" s="176">
        <f t="shared" si="57"/>
        <v>0</v>
      </c>
      <c r="CK75" s="176">
        <f t="shared" si="57"/>
        <v>0</v>
      </c>
      <c r="CL75" s="176">
        <f t="shared" si="57"/>
        <v>0</v>
      </c>
      <c r="CM75" s="176">
        <f t="shared" si="57"/>
        <v>0</v>
      </c>
      <c r="CN75" s="176">
        <f t="shared" si="57"/>
        <v>0</v>
      </c>
      <c r="CO75" s="176">
        <f t="shared" si="57"/>
        <v>0</v>
      </c>
      <c r="CP75" s="176">
        <f t="shared" si="57"/>
        <v>0</v>
      </c>
      <c r="CQ75" s="176">
        <f t="shared" si="57"/>
        <v>0</v>
      </c>
      <c r="CR75" s="176">
        <f t="shared" si="57"/>
        <v>0</v>
      </c>
      <c r="CS75" s="176">
        <f t="shared" si="57"/>
        <v>0</v>
      </c>
      <c r="CT75" s="176">
        <f t="shared" si="57"/>
        <v>0</v>
      </c>
      <c r="CU75" s="176">
        <f t="shared" si="57"/>
        <v>0</v>
      </c>
      <c r="CV75" s="176">
        <f t="shared" si="57"/>
        <v>0</v>
      </c>
      <c r="CW75" s="176">
        <f t="shared" si="57"/>
        <v>0</v>
      </c>
      <c r="CX75" s="176">
        <f t="shared" si="57"/>
        <v>0</v>
      </c>
      <c r="CY75" s="176">
        <f t="shared" si="57"/>
        <v>0</v>
      </c>
      <c r="CZ75" s="176">
        <f t="shared" si="57"/>
        <v>0</v>
      </c>
      <c r="DA75" s="176">
        <f t="shared" si="57"/>
        <v>0</v>
      </c>
      <c r="DB75" s="176">
        <f t="shared" si="57"/>
        <v>0</v>
      </c>
      <c r="DC75" s="176">
        <f t="shared" si="57"/>
        <v>0</v>
      </c>
      <c r="DD75" s="176">
        <f t="shared" si="57"/>
        <v>0</v>
      </c>
      <c r="DE75" s="176">
        <f t="shared" si="57"/>
        <v>0</v>
      </c>
      <c r="DF75" s="176">
        <f t="shared" si="57"/>
        <v>0</v>
      </c>
      <c r="DG75" s="176">
        <f t="shared" si="57"/>
        <v>0</v>
      </c>
      <c r="DH75" s="176">
        <f t="shared" si="57"/>
        <v>0</v>
      </c>
      <c r="DI75" s="176">
        <f t="shared" si="57"/>
        <v>0</v>
      </c>
      <c r="DJ75" s="176">
        <f t="shared" si="57"/>
        <v>0</v>
      </c>
      <c r="DK75" s="176">
        <f t="shared" si="57"/>
        <v>0</v>
      </c>
      <c r="DL75" s="176">
        <f t="shared" si="57"/>
        <v>0</v>
      </c>
      <c r="DM75" s="176">
        <f t="shared" si="57"/>
        <v>0</v>
      </c>
      <c r="DN75" s="176">
        <f t="shared" si="57"/>
        <v>0</v>
      </c>
      <c r="DO75" s="176">
        <f t="shared" si="57"/>
        <v>0</v>
      </c>
      <c r="DP75" s="176">
        <f t="shared" si="57"/>
        <v>0</v>
      </c>
      <c r="DQ75" s="176">
        <f t="shared" si="57"/>
        <v>0</v>
      </c>
      <c r="DR75" s="176">
        <f t="shared" si="57"/>
        <v>0</v>
      </c>
      <c r="DS75" s="176">
        <f t="shared" si="57"/>
        <v>0</v>
      </c>
      <c r="DT75" s="176">
        <f t="shared" si="57"/>
        <v>0</v>
      </c>
      <c r="DU75" s="176">
        <f t="shared" si="57"/>
        <v>0</v>
      </c>
      <c r="DV75" s="176">
        <f t="shared" si="57"/>
        <v>0</v>
      </c>
      <c r="DW75" s="176">
        <f t="shared" si="57"/>
        <v>0</v>
      </c>
      <c r="DX75" s="176">
        <f t="shared" si="57"/>
        <v>0</v>
      </c>
      <c r="DY75" s="176">
        <f t="shared" si="57"/>
        <v>0</v>
      </c>
      <c r="DZ75" s="176">
        <f t="shared" si="57"/>
        <v>0</v>
      </c>
      <c r="EA75" s="176">
        <f t="shared" si="57"/>
        <v>0</v>
      </c>
      <c r="EB75" s="176">
        <f t="shared" ref="EB75:FR75" si="58">SUM(EB72:EB74)</f>
        <v>0</v>
      </c>
      <c r="EC75" s="176">
        <f t="shared" si="58"/>
        <v>0</v>
      </c>
      <c r="ED75" s="176">
        <f t="shared" si="58"/>
        <v>0</v>
      </c>
      <c r="EE75" s="176">
        <f t="shared" si="58"/>
        <v>0</v>
      </c>
      <c r="EF75" s="176">
        <f t="shared" si="58"/>
        <v>0</v>
      </c>
      <c r="EG75" s="176">
        <f t="shared" si="58"/>
        <v>0</v>
      </c>
      <c r="EH75" s="176">
        <f t="shared" si="58"/>
        <v>0</v>
      </c>
      <c r="EI75" s="176">
        <f t="shared" si="58"/>
        <v>0</v>
      </c>
      <c r="EJ75" s="176">
        <f t="shared" si="58"/>
        <v>0</v>
      </c>
      <c r="EK75" s="176">
        <f t="shared" si="58"/>
        <v>0</v>
      </c>
      <c r="EL75" s="176">
        <f t="shared" si="58"/>
        <v>0</v>
      </c>
      <c r="EM75" s="176">
        <f t="shared" si="58"/>
        <v>0</v>
      </c>
      <c r="EN75" s="176">
        <f t="shared" si="58"/>
        <v>0</v>
      </c>
      <c r="EO75" s="176">
        <f t="shared" si="58"/>
        <v>0</v>
      </c>
      <c r="EP75" s="176">
        <f t="shared" si="58"/>
        <v>0</v>
      </c>
      <c r="EQ75" s="176">
        <f t="shared" si="58"/>
        <v>0</v>
      </c>
      <c r="ER75" s="176">
        <f t="shared" si="58"/>
        <v>0</v>
      </c>
      <c r="ES75" s="176">
        <f t="shared" si="58"/>
        <v>0</v>
      </c>
      <c r="ET75" s="176">
        <f t="shared" si="58"/>
        <v>0</v>
      </c>
      <c r="EU75" s="176">
        <f t="shared" si="58"/>
        <v>0</v>
      </c>
      <c r="EV75" s="176">
        <f t="shared" si="58"/>
        <v>0</v>
      </c>
      <c r="EW75" s="176">
        <f t="shared" si="58"/>
        <v>0</v>
      </c>
      <c r="EX75" s="176">
        <f t="shared" si="58"/>
        <v>0</v>
      </c>
      <c r="EY75" s="176">
        <f t="shared" si="58"/>
        <v>0</v>
      </c>
      <c r="EZ75" s="176">
        <f t="shared" si="58"/>
        <v>0</v>
      </c>
      <c r="FA75" s="176">
        <f t="shared" si="58"/>
        <v>0</v>
      </c>
      <c r="FB75" s="176">
        <f t="shared" si="58"/>
        <v>0</v>
      </c>
      <c r="FC75" s="176">
        <f t="shared" si="58"/>
        <v>0</v>
      </c>
      <c r="FD75" s="176">
        <f t="shared" si="58"/>
        <v>0</v>
      </c>
      <c r="FE75" s="176">
        <f t="shared" si="58"/>
        <v>0</v>
      </c>
      <c r="FF75" s="176">
        <f t="shared" si="58"/>
        <v>0</v>
      </c>
      <c r="FG75" s="176">
        <f t="shared" si="58"/>
        <v>0</v>
      </c>
      <c r="FH75" s="176">
        <f t="shared" si="58"/>
        <v>0</v>
      </c>
      <c r="FI75" s="176">
        <f t="shared" si="58"/>
        <v>0</v>
      </c>
      <c r="FJ75" s="176">
        <f t="shared" si="58"/>
        <v>0</v>
      </c>
      <c r="FK75" s="176">
        <f t="shared" si="58"/>
        <v>0</v>
      </c>
      <c r="FL75" s="176">
        <f t="shared" si="58"/>
        <v>0</v>
      </c>
      <c r="FM75" s="176">
        <f t="shared" si="58"/>
        <v>0</v>
      </c>
      <c r="FN75" s="176">
        <f t="shared" si="58"/>
        <v>0</v>
      </c>
      <c r="FO75" s="176">
        <f t="shared" si="58"/>
        <v>0</v>
      </c>
      <c r="FP75" s="176">
        <f t="shared" si="58"/>
        <v>0</v>
      </c>
      <c r="FQ75" s="176">
        <f t="shared" si="58"/>
        <v>0</v>
      </c>
      <c r="FR75" s="176">
        <f t="shared" si="58"/>
        <v>0</v>
      </c>
    </row>
    <row r="76" spans="1:174" ht="15" customHeight="1" thickBot="1" x14ac:dyDescent="0.35">
      <c r="A76" s="170"/>
      <c r="B76" s="171" t="s">
        <v>33</v>
      </c>
      <c r="C76" s="177">
        <f>C75/3</f>
        <v>9</v>
      </c>
      <c r="D76" s="177">
        <f t="shared" ref="D76:BO76" si="59">D75/3</f>
        <v>0</v>
      </c>
      <c r="E76" s="177">
        <f t="shared" si="59"/>
        <v>0</v>
      </c>
      <c r="F76" s="177">
        <f t="shared" si="59"/>
        <v>0</v>
      </c>
      <c r="G76" s="177">
        <f t="shared" si="59"/>
        <v>0</v>
      </c>
      <c r="H76" s="177">
        <f t="shared" si="59"/>
        <v>0</v>
      </c>
      <c r="I76" s="177">
        <f t="shared" si="59"/>
        <v>0</v>
      </c>
      <c r="J76" s="177">
        <f t="shared" si="59"/>
        <v>0</v>
      </c>
      <c r="K76" s="177">
        <f t="shared" si="59"/>
        <v>0</v>
      </c>
      <c r="L76" s="177">
        <f t="shared" si="59"/>
        <v>0</v>
      </c>
      <c r="M76" s="177">
        <f t="shared" si="59"/>
        <v>0</v>
      </c>
      <c r="N76" s="177">
        <f t="shared" si="59"/>
        <v>0</v>
      </c>
      <c r="O76" s="177">
        <f t="shared" si="59"/>
        <v>0</v>
      </c>
      <c r="P76" s="177">
        <f t="shared" si="59"/>
        <v>0</v>
      </c>
      <c r="Q76" s="177">
        <f t="shared" si="59"/>
        <v>0</v>
      </c>
      <c r="R76" s="177">
        <f t="shared" si="59"/>
        <v>0</v>
      </c>
      <c r="S76" s="177">
        <f t="shared" si="59"/>
        <v>0</v>
      </c>
      <c r="T76" s="177">
        <f t="shared" si="59"/>
        <v>0</v>
      </c>
      <c r="U76" s="177">
        <f t="shared" si="59"/>
        <v>0</v>
      </c>
      <c r="V76" s="177">
        <f t="shared" si="59"/>
        <v>0</v>
      </c>
      <c r="W76" s="177">
        <f t="shared" si="59"/>
        <v>0</v>
      </c>
      <c r="X76" s="177">
        <f t="shared" si="59"/>
        <v>0</v>
      </c>
      <c r="Y76" s="177">
        <f t="shared" si="59"/>
        <v>0</v>
      </c>
      <c r="Z76" s="177">
        <f t="shared" si="59"/>
        <v>0</v>
      </c>
      <c r="AA76" s="177">
        <f t="shared" si="59"/>
        <v>0</v>
      </c>
      <c r="AB76" s="177">
        <f t="shared" si="59"/>
        <v>0</v>
      </c>
      <c r="AC76" s="177">
        <f t="shared" si="59"/>
        <v>0</v>
      </c>
      <c r="AD76" s="177">
        <f t="shared" si="59"/>
        <v>0</v>
      </c>
      <c r="AE76" s="177">
        <f t="shared" si="59"/>
        <v>0</v>
      </c>
      <c r="AF76" s="177">
        <f t="shared" si="59"/>
        <v>0</v>
      </c>
      <c r="AG76" s="177">
        <f t="shared" si="59"/>
        <v>0</v>
      </c>
      <c r="AH76" s="177">
        <f t="shared" si="59"/>
        <v>0</v>
      </c>
      <c r="AI76" s="177">
        <f t="shared" si="59"/>
        <v>0</v>
      </c>
      <c r="AJ76" s="177">
        <f t="shared" si="59"/>
        <v>0</v>
      </c>
      <c r="AK76" s="177">
        <f t="shared" si="59"/>
        <v>0</v>
      </c>
      <c r="AL76" s="177">
        <f t="shared" si="59"/>
        <v>0</v>
      </c>
      <c r="AM76" s="177">
        <f t="shared" si="59"/>
        <v>0</v>
      </c>
      <c r="AN76" s="177">
        <f t="shared" si="59"/>
        <v>0</v>
      </c>
      <c r="AO76" s="177">
        <f t="shared" si="59"/>
        <v>0</v>
      </c>
      <c r="AP76" s="177">
        <f t="shared" si="59"/>
        <v>0</v>
      </c>
      <c r="AQ76" s="177">
        <f t="shared" si="59"/>
        <v>0</v>
      </c>
      <c r="AR76" s="177">
        <f t="shared" si="59"/>
        <v>0</v>
      </c>
      <c r="AS76" s="177">
        <f t="shared" si="59"/>
        <v>0</v>
      </c>
      <c r="AT76" s="177">
        <f t="shared" si="59"/>
        <v>0</v>
      </c>
      <c r="AU76" s="177">
        <f t="shared" si="59"/>
        <v>0</v>
      </c>
      <c r="AV76" s="177">
        <f t="shared" si="59"/>
        <v>0</v>
      </c>
      <c r="AW76" s="177">
        <f t="shared" si="59"/>
        <v>0</v>
      </c>
      <c r="AX76" s="177">
        <f t="shared" si="59"/>
        <v>0</v>
      </c>
      <c r="AY76" s="177">
        <f t="shared" si="59"/>
        <v>0</v>
      </c>
      <c r="AZ76" s="177">
        <f t="shared" si="59"/>
        <v>0</v>
      </c>
      <c r="BA76" s="177">
        <f t="shared" si="59"/>
        <v>0</v>
      </c>
      <c r="BB76" s="177">
        <f t="shared" si="59"/>
        <v>0</v>
      </c>
      <c r="BC76" s="177">
        <f t="shared" si="59"/>
        <v>0</v>
      </c>
      <c r="BD76" s="177">
        <f t="shared" si="59"/>
        <v>0</v>
      </c>
      <c r="BE76" s="177">
        <f t="shared" si="59"/>
        <v>0</v>
      </c>
      <c r="BF76" s="177">
        <f t="shared" si="59"/>
        <v>0</v>
      </c>
      <c r="BG76" s="177">
        <f t="shared" si="59"/>
        <v>0</v>
      </c>
      <c r="BH76" s="177">
        <f t="shared" si="59"/>
        <v>0</v>
      </c>
      <c r="BI76" s="177">
        <f t="shared" si="59"/>
        <v>0</v>
      </c>
      <c r="BJ76" s="177">
        <f t="shared" si="59"/>
        <v>0</v>
      </c>
      <c r="BK76" s="177">
        <f t="shared" si="59"/>
        <v>0</v>
      </c>
      <c r="BL76" s="177">
        <f t="shared" si="59"/>
        <v>0</v>
      </c>
      <c r="BM76" s="177">
        <f t="shared" si="59"/>
        <v>0</v>
      </c>
      <c r="BN76" s="177">
        <f t="shared" si="59"/>
        <v>0</v>
      </c>
      <c r="BO76" s="177">
        <f t="shared" si="59"/>
        <v>0</v>
      </c>
      <c r="BP76" s="177">
        <f t="shared" ref="BP76:EA76" si="60">BP75/3</f>
        <v>0</v>
      </c>
      <c r="BQ76" s="177">
        <f t="shared" si="60"/>
        <v>0</v>
      </c>
      <c r="BR76" s="177">
        <f t="shared" si="60"/>
        <v>0</v>
      </c>
      <c r="BS76" s="177">
        <f t="shared" si="60"/>
        <v>0</v>
      </c>
      <c r="BT76" s="177">
        <f t="shared" si="60"/>
        <v>0</v>
      </c>
      <c r="BU76" s="177">
        <f t="shared" si="60"/>
        <v>0</v>
      </c>
      <c r="BV76" s="177">
        <f t="shared" si="60"/>
        <v>0</v>
      </c>
      <c r="BW76" s="177">
        <f t="shared" si="60"/>
        <v>0</v>
      </c>
      <c r="BX76" s="177">
        <f t="shared" si="60"/>
        <v>0</v>
      </c>
      <c r="BY76" s="177">
        <f t="shared" si="60"/>
        <v>0</v>
      </c>
      <c r="BZ76" s="177">
        <f t="shared" si="60"/>
        <v>0</v>
      </c>
      <c r="CA76" s="177">
        <f t="shared" si="60"/>
        <v>0</v>
      </c>
      <c r="CB76" s="177">
        <f t="shared" si="60"/>
        <v>0</v>
      </c>
      <c r="CC76" s="177">
        <f t="shared" si="60"/>
        <v>0</v>
      </c>
      <c r="CD76" s="177">
        <f t="shared" si="60"/>
        <v>0</v>
      </c>
      <c r="CE76" s="177">
        <f t="shared" si="60"/>
        <v>0</v>
      </c>
      <c r="CF76" s="177">
        <f t="shared" si="60"/>
        <v>0</v>
      </c>
      <c r="CG76" s="177">
        <f t="shared" si="60"/>
        <v>0</v>
      </c>
      <c r="CH76" s="177">
        <f t="shared" si="60"/>
        <v>0</v>
      </c>
      <c r="CI76" s="177">
        <f t="shared" si="60"/>
        <v>0</v>
      </c>
      <c r="CJ76" s="177">
        <f t="shared" si="60"/>
        <v>0</v>
      </c>
      <c r="CK76" s="177">
        <f t="shared" si="60"/>
        <v>0</v>
      </c>
      <c r="CL76" s="177">
        <f t="shared" si="60"/>
        <v>0</v>
      </c>
      <c r="CM76" s="177">
        <f t="shared" si="60"/>
        <v>0</v>
      </c>
      <c r="CN76" s="177">
        <f t="shared" si="60"/>
        <v>0</v>
      </c>
      <c r="CO76" s="177">
        <f t="shared" si="60"/>
        <v>0</v>
      </c>
      <c r="CP76" s="177">
        <f t="shared" si="60"/>
        <v>0</v>
      </c>
      <c r="CQ76" s="177">
        <f t="shared" si="60"/>
        <v>0</v>
      </c>
      <c r="CR76" s="177">
        <f t="shared" si="60"/>
        <v>0</v>
      </c>
      <c r="CS76" s="177">
        <f t="shared" si="60"/>
        <v>0</v>
      </c>
      <c r="CT76" s="177">
        <f t="shared" si="60"/>
        <v>0</v>
      </c>
      <c r="CU76" s="177">
        <f t="shared" si="60"/>
        <v>0</v>
      </c>
      <c r="CV76" s="177">
        <f t="shared" si="60"/>
        <v>0</v>
      </c>
      <c r="CW76" s="177">
        <f t="shared" si="60"/>
        <v>0</v>
      </c>
      <c r="CX76" s="177">
        <f t="shared" si="60"/>
        <v>0</v>
      </c>
      <c r="CY76" s="177">
        <f t="shared" si="60"/>
        <v>0</v>
      </c>
      <c r="CZ76" s="177">
        <f t="shared" si="60"/>
        <v>0</v>
      </c>
      <c r="DA76" s="177">
        <f t="shared" si="60"/>
        <v>0</v>
      </c>
      <c r="DB76" s="177">
        <f t="shared" si="60"/>
        <v>0</v>
      </c>
      <c r="DC76" s="177">
        <f t="shared" si="60"/>
        <v>0</v>
      </c>
      <c r="DD76" s="177">
        <f t="shared" si="60"/>
        <v>0</v>
      </c>
      <c r="DE76" s="177">
        <f t="shared" si="60"/>
        <v>0</v>
      </c>
      <c r="DF76" s="177">
        <f t="shared" si="60"/>
        <v>0</v>
      </c>
      <c r="DG76" s="177">
        <f t="shared" si="60"/>
        <v>0</v>
      </c>
      <c r="DH76" s="177">
        <f t="shared" si="60"/>
        <v>0</v>
      </c>
      <c r="DI76" s="177">
        <f t="shared" si="60"/>
        <v>0</v>
      </c>
      <c r="DJ76" s="177">
        <f t="shared" si="60"/>
        <v>0</v>
      </c>
      <c r="DK76" s="177">
        <f t="shared" si="60"/>
        <v>0</v>
      </c>
      <c r="DL76" s="177">
        <f t="shared" si="60"/>
        <v>0</v>
      </c>
      <c r="DM76" s="177">
        <f t="shared" si="60"/>
        <v>0</v>
      </c>
      <c r="DN76" s="177">
        <f t="shared" si="60"/>
        <v>0</v>
      </c>
      <c r="DO76" s="177">
        <f t="shared" si="60"/>
        <v>0</v>
      </c>
      <c r="DP76" s="177">
        <f t="shared" si="60"/>
        <v>0</v>
      </c>
      <c r="DQ76" s="177">
        <f t="shared" si="60"/>
        <v>0</v>
      </c>
      <c r="DR76" s="177">
        <f t="shared" si="60"/>
        <v>0</v>
      </c>
      <c r="DS76" s="177">
        <f t="shared" si="60"/>
        <v>0</v>
      </c>
      <c r="DT76" s="177">
        <f t="shared" si="60"/>
        <v>0</v>
      </c>
      <c r="DU76" s="177">
        <f t="shared" si="60"/>
        <v>0</v>
      </c>
      <c r="DV76" s="177">
        <f t="shared" si="60"/>
        <v>0</v>
      </c>
      <c r="DW76" s="177">
        <f t="shared" si="60"/>
        <v>0</v>
      </c>
      <c r="DX76" s="177">
        <f t="shared" si="60"/>
        <v>0</v>
      </c>
      <c r="DY76" s="177">
        <f t="shared" si="60"/>
        <v>0</v>
      </c>
      <c r="DZ76" s="177">
        <f t="shared" si="60"/>
        <v>0</v>
      </c>
      <c r="EA76" s="177">
        <f t="shared" si="60"/>
        <v>0</v>
      </c>
      <c r="EB76" s="177">
        <f t="shared" ref="EB76:FR76" si="61">EB75/3</f>
        <v>0</v>
      </c>
      <c r="EC76" s="177">
        <f t="shared" si="61"/>
        <v>0</v>
      </c>
      <c r="ED76" s="177">
        <f t="shared" si="61"/>
        <v>0</v>
      </c>
      <c r="EE76" s="177">
        <f t="shared" si="61"/>
        <v>0</v>
      </c>
      <c r="EF76" s="177">
        <f t="shared" si="61"/>
        <v>0</v>
      </c>
      <c r="EG76" s="177">
        <f t="shared" si="61"/>
        <v>0</v>
      </c>
      <c r="EH76" s="177">
        <f t="shared" si="61"/>
        <v>0</v>
      </c>
      <c r="EI76" s="177">
        <f t="shared" si="61"/>
        <v>0</v>
      </c>
      <c r="EJ76" s="177">
        <f t="shared" si="61"/>
        <v>0</v>
      </c>
      <c r="EK76" s="177">
        <f t="shared" si="61"/>
        <v>0</v>
      </c>
      <c r="EL76" s="177">
        <f t="shared" si="61"/>
        <v>0</v>
      </c>
      <c r="EM76" s="177">
        <f t="shared" si="61"/>
        <v>0</v>
      </c>
      <c r="EN76" s="177">
        <f t="shared" si="61"/>
        <v>0</v>
      </c>
      <c r="EO76" s="177">
        <f t="shared" si="61"/>
        <v>0</v>
      </c>
      <c r="EP76" s="177">
        <f t="shared" si="61"/>
        <v>0</v>
      </c>
      <c r="EQ76" s="177">
        <f t="shared" si="61"/>
        <v>0</v>
      </c>
      <c r="ER76" s="177">
        <f t="shared" si="61"/>
        <v>0</v>
      </c>
      <c r="ES76" s="177">
        <f t="shared" si="61"/>
        <v>0</v>
      </c>
      <c r="ET76" s="177">
        <f t="shared" si="61"/>
        <v>0</v>
      </c>
      <c r="EU76" s="177">
        <f t="shared" si="61"/>
        <v>0</v>
      </c>
      <c r="EV76" s="177">
        <f t="shared" si="61"/>
        <v>0</v>
      </c>
      <c r="EW76" s="177">
        <f t="shared" si="61"/>
        <v>0</v>
      </c>
      <c r="EX76" s="177">
        <f t="shared" si="61"/>
        <v>0</v>
      </c>
      <c r="EY76" s="177">
        <f t="shared" si="61"/>
        <v>0</v>
      </c>
      <c r="EZ76" s="177">
        <f t="shared" si="61"/>
        <v>0</v>
      </c>
      <c r="FA76" s="177">
        <f t="shared" si="61"/>
        <v>0</v>
      </c>
      <c r="FB76" s="177">
        <f t="shared" si="61"/>
        <v>0</v>
      </c>
      <c r="FC76" s="177">
        <f t="shared" si="61"/>
        <v>0</v>
      </c>
      <c r="FD76" s="177">
        <f t="shared" si="61"/>
        <v>0</v>
      </c>
      <c r="FE76" s="177">
        <f t="shared" si="61"/>
        <v>0</v>
      </c>
      <c r="FF76" s="177">
        <f t="shared" si="61"/>
        <v>0</v>
      </c>
      <c r="FG76" s="177">
        <f t="shared" si="61"/>
        <v>0</v>
      </c>
      <c r="FH76" s="177">
        <f t="shared" si="61"/>
        <v>0</v>
      </c>
      <c r="FI76" s="177">
        <f t="shared" si="61"/>
        <v>0</v>
      </c>
      <c r="FJ76" s="177">
        <f t="shared" si="61"/>
        <v>0</v>
      </c>
      <c r="FK76" s="177">
        <f t="shared" si="61"/>
        <v>0</v>
      </c>
      <c r="FL76" s="177">
        <f t="shared" si="61"/>
        <v>0</v>
      </c>
      <c r="FM76" s="177">
        <f t="shared" si="61"/>
        <v>0</v>
      </c>
      <c r="FN76" s="177">
        <f t="shared" si="61"/>
        <v>0</v>
      </c>
      <c r="FO76" s="177">
        <f t="shared" si="61"/>
        <v>0</v>
      </c>
      <c r="FP76" s="177">
        <f t="shared" si="61"/>
        <v>0</v>
      </c>
      <c r="FQ76" s="177">
        <f t="shared" si="61"/>
        <v>0</v>
      </c>
      <c r="FR76" s="177">
        <f t="shared" si="61"/>
        <v>0</v>
      </c>
    </row>
    <row r="77" spans="1:174" ht="14.4" thickBot="1" x14ac:dyDescent="0.35"/>
    <row r="78" spans="1:174" ht="15.6" x14ac:dyDescent="0.3">
      <c r="A78" s="183"/>
      <c r="B78" s="184" t="s">
        <v>53</v>
      </c>
      <c r="C78" s="179">
        <f>SUMIFS(C20:C76,$B$20:$B$76,"Average Score")</f>
        <v>69</v>
      </c>
      <c r="D78" s="179">
        <f t="shared" ref="D78:BO78" si="62">SUMIFS(D20:D76,$B$20:$B$76,"Average Score")</f>
        <v>0</v>
      </c>
      <c r="E78" s="179">
        <f t="shared" si="62"/>
        <v>0</v>
      </c>
      <c r="F78" s="179">
        <f t="shared" si="62"/>
        <v>0</v>
      </c>
      <c r="G78" s="179">
        <f t="shared" si="62"/>
        <v>0</v>
      </c>
      <c r="H78" s="179">
        <f t="shared" si="62"/>
        <v>0</v>
      </c>
      <c r="I78" s="179">
        <f t="shared" si="62"/>
        <v>0</v>
      </c>
      <c r="J78" s="179">
        <f t="shared" si="62"/>
        <v>0</v>
      </c>
      <c r="K78" s="179">
        <f t="shared" si="62"/>
        <v>0</v>
      </c>
      <c r="L78" s="179">
        <f t="shared" si="62"/>
        <v>0</v>
      </c>
      <c r="M78" s="179">
        <f t="shared" si="62"/>
        <v>0</v>
      </c>
      <c r="N78" s="179">
        <f t="shared" si="62"/>
        <v>0</v>
      </c>
      <c r="O78" s="179">
        <f t="shared" si="62"/>
        <v>0</v>
      </c>
      <c r="P78" s="179">
        <f t="shared" si="62"/>
        <v>0</v>
      </c>
      <c r="Q78" s="179">
        <f t="shared" si="62"/>
        <v>0</v>
      </c>
      <c r="R78" s="179">
        <f t="shared" si="62"/>
        <v>0</v>
      </c>
      <c r="S78" s="179">
        <f t="shared" si="62"/>
        <v>0</v>
      </c>
      <c r="T78" s="179">
        <f t="shared" si="62"/>
        <v>0</v>
      </c>
      <c r="U78" s="179">
        <f t="shared" si="62"/>
        <v>0</v>
      </c>
      <c r="V78" s="179">
        <f t="shared" si="62"/>
        <v>0</v>
      </c>
      <c r="W78" s="179">
        <f t="shared" si="62"/>
        <v>0</v>
      </c>
      <c r="X78" s="179">
        <f t="shared" si="62"/>
        <v>0</v>
      </c>
      <c r="Y78" s="179">
        <f t="shared" si="62"/>
        <v>0</v>
      </c>
      <c r="Z78" s="179">
        <f t="shared" si="62"/>
        <v>0</v>
      </c>
      <c r="AA78" s="179">
        <f t="shared" si="62"/>
        <v>0</v>
      </c>
      <c r="AB78" s="179">
        <f t="shared" si="62"/>
        <v>0</v>
      </c>
      <c r="AC78" s="179">
        <f t="shared" si="62"/>
        <v>0</v>
      </c>
      <c r="AD78" s="179">
        <f t="shared" si="62"/>
        <v>0</v>
      </c>
      <c r="AE78" s="179">
        <f t="shared" si="62"/>
        <v>0</v>
      </c>
      <c r="AF78" s="179">
        <f t="shared" si="62"/>
        <v>0</v>
      </c>
      <c r="AG78" s="179">
        <f t="shared" si="62"/>
        <v>0</v>
      </c>
      <c r="AH78" s="179">
        <f t="shared" si="62"/>
        <v>0</v>
      </c>
      <c r="AI78" s="179">
        <f t="shared" si="62"/>
        <v>0</v>
      </c>
      <c r="AJ78" s="179">
        <f t="shared" si="62"/>
        <v>0</v>
      </c>
      <c r="AK78" s="179">
        <f t="shared" si="62"/>
        <v>0</v>
      </c>
      <c r="AL78" s="179">
        <f t="shared" si="62"/>
        <v>0</v>
      </c>
      <c r="AM78" s="179">
        <f t="shared" si="62"/>
        <v>0</v>
      </c>
      <c r="AN78" s="179">
        <f t="shared" si="62"/>
        <v>0</v>
      </c>
      <c r="AO78" s="179">
        <f t="shared" si="62"/>
        <v>0</v>
      </c>
      <c r="AP78" s="179">
        <f t="shared" si="62"/>
        <v>0</v>
      </c>
      <c r="AQ78" s="179">
        <f t="shared" si="62"/>
        <v>0</v>
      </c>
      <c r="AR78" s="179">
        <f t="shared" si="62"/>
        <v>0</v>
      </c>
      <c r="AS78" s="179">
        <f t="shared" si="62"/>
        <v>0</v>
      </c>
      <c r="AT78" s="179">
        <f t="shared" si="62"/>
        <v>0</v>
      </c>
      <c r="AU78" s="179">
        <f t="shared" si="62"/>
        <v>0</v>
      </c>
      <c r="AV78" s="179">
        <f t="shared" si="62"/>
        <v>0</v>
      </c>
      <c r="AW78" s="179">
        <f t="shared" si="62"/>
        <v>0</v>
      </c>
      <c r="AX78" s="179">
        <f t="shared" si="62"/>
        <v>0</v>
      </c>
      <c r="AY78" s="179">
        <f t="shared" si="62"/>
        <v>0</v>
      </c>
      <c r="AZ78" s="179">
        <f t="shared" si="62"/>
        <v>0</v>
      </c>
      <c r="BA78" s="179">
        <f t="shared" si="62"/>
        <v>0</v>
      </c>
      <c r="BB78" s="179">
        <f t="shared" si="62"/>
        <v>0</v>
      </c>
      <c r="BC78" s="179">
        <f t="shared" si="62"/>
        <v>0</v>
      </c>
      <c r="BD78" s="179">
        <f t="shared" si="62"/>
        <v>0</v>
      </c>
      <c r="BE78" s="179">
        <f t="shared" si="62"/>
        <v>0</v>
      </c>
      <c r="BF78" s="179">
        <f t="shared" si="62"/>
        <v>0</v>
      </c>
      <c r="BG78" s="179">
        <f t="shared" si="62"/>
        <v>0</v>
      </c>
      <c r="BH78" s="179">
        <f t="shared" si="62"/>
        <v>0</v>
      </c>
      <c r="BI78" s="179">
        <f t="shared" si="62"/>
        <v>0</v>
      </c>
      <c r="BJ78" s="179">
        <f t="shared" si="62"/>
        <v>0</v>
      </c>
      <c r="BK78" s="179">
        <f t="shared" si="62"/>
        <v>0</v>
      </c>
      <c r="BL78" s="179">
        <f t="shared" si="62"/>
        <v>0</v>
      </c>
      <c r="BM78" s="179">
        <f t="shared" si="62"/>
        <v>0</v>
      </c>
      <c r="BN78" s="179">
        <f t="shared" si="62"/>
        <v>0</v>
      </c>
      <c r="BO78" s="179">
        <f t="shared" si="62"/>
        <v>0</v>
      </c>
      <c r="BP78" s="179">
        <f t="shared" ref="BP78:EA78" si="63">SUMIFS(BP20:BP76,$B$20:$B$76,"Average Score")</f>
        <v>0</v>
      </c>
      <c r="BQ78" s="179">
        <f t="shared" si="63"/>
        <v>0</v>
      </c>
      <c r="BR78" s="179">
        <f t="shared" si="63"/>
        <v>0</v>
      </c>
      <c r="BS78" s="179">
        <f t="shared" si="63"/>
        <v>0</v>
      </c>
      <c r="BT78" s="179">
        <f t="shared" si="63"/>
        <v>0</v>
      </c>
      <c r="BU78" s="179">
        <f t="shared" si="63"/>
        <v>0</v>
      </c>
      <c r="BV78" s="179">
        <f t="shared" si="63"/>
        <v>0</v>
      </c>
      <c r="BW78" s="179">
        <f t="shared" si="63"/>
        <v>0</v>
      </c>
      <c r="BX78" s="179">
        <f t="shared" si="63"/>
        <v>0</v>
      </c>
      <c r="BY78" s="179">
        <f t="shared" si="63"/>
        <v>0</v>
      </c>
      <c r="BZ78" s="179">
        <f t="shared" si="63"/>
        <v>0</v>
      </c>
      <c r="CA78" s="179">
        <f t="shared" si="63"/>
        <v>0</v>
      </c>
      <c r="CB78" s="179">
        <f t="shared" si="63"/>
        <v>0</v>
      </c>
      <c r="CC78" s="179">
        <f t="shared" si="63"/>
        <v>0</v>
      </c>
      <c r="CD78" s="179">
        <f t="shared" si="63"/>
        <v>0</v>
      </c>
      <c r="CE78" s="179">
        <f t="shared" si="63"/>
        <v>0</v>
      </c>
      <c r="CF78" s="179">
        <f t="shared" si="63"/>
        <v>0</v>
      </c>
      <c r="CG78" s="179">
        <f t="shared" si="63"/>
        <v>0</v>
      </c>
      <c r="CH78" s="179">
        <f t="shared" si="63"/>
        <v>0</v>
      </c>
      <c r="CI78" s="179">
        <f t="shared" si="63"/>
        <v>0</v>
      </c>
      <c r="CJ78" s="179">
        <f t="shared" si="63"/>
        <v>0</v>
      </c>
      <c r="CK78" s="179">
        <f t="shared" si="63"/>
        <v>0</v>
      </c>
      <c r="CL78" s="179">
        <f t="shared" si="63"/>
        <v>0</v>
      </c>
      <c r="CM78" s="179">
        <f t="shared" si="63"/>
        <v>0</v>
      </c>
      <c r="CN78" s="179">
        <f t="shared" si="63"/>
        <v>0</v>
      </c>
      <c r="CO78" s="179">
        <f t="shared" si="63"/>
        <v>0</v>
      </c>
      <c r="CP78" s="179">
        <f t="shared" si="63"/>
        <v>0</v>
      </c>
      <c r="CQ78" s="179">
        <f t="shared" si="63"/>
        <v>0</v>
      </c>
      <c r="CR78" s="179">
        <f t="shared" si="63"/>
        <v>0</v>
      </c>
      <c r="CS78" s="179">
        <f t="shared" si="63"/>
        <v>0</v>
      </c>
      <c r="CT78" s="179">
        <f t="shared" si="63"/>
        <v>0</v>
      </c>
      <c r="CU78" s="179">
        <f t="shared" si="63"/>
        <v>0</v>
      </c>
      <c r="CV78" s="179">
        <f t="shared" si="63"/>
        <v>0</v>
      </c>
      <c r="CW78" s="179">
        <f t="shared" si="63"/>
        <v>0</v>
      </c>
      <c r="CX78" s="179">
        <f t="shared" si="63"/>
        <v>0</v>
      </c>
      <c r="CY78" s="179">
        <f t="shared" si="63"/>
        <v>0</v>
      </c>
      <c r="CZ78" s="179">
        <f t="shared" si="63"/>
        <v>0</v>
      </c>
      <c r="DA78" s="179">
        <f t="shared" si="63"/>
        <v>0</v>
      </c>
      <c r="DB78" s="179">
        <f t="shared" si="63"/>
        <v>0</v>
      </c>
      <c r="DC78" s="179">
        <f t="shared" si="63"/>
        <v>0</v>
      </c>
      <c r="DD78" s="179">
        <f t="shared" si="63"/>
        <v>0</v>
      </c>
      <c r="DE78" s="179">
        <f t="shared" si="63"/>
        <v>0</v>
      </c>
      <c r="DF78" s="179">
        <f t="shared" si="63"/>
        <v>0</v>
      </c>
      <c r="DG78" s="179">
        <f t="shared" si="63"/>
        <v>0</v>
      </c>
      <c r="DH78" s="179">
        <f t="shared" si="63"/>
        <v>0</v>
      </c>
      <c r="DI78" s="179">
        <f t="shared" si="63"/>
        <v>0</v>
      </c>
      <c r="DJ78" s="179">
        <f t="shared" si="63"/>
        <v>0</v>
      </c>
      <c r="DK78" s="179">
        <f t="shared" si="63"/>
        <v>0</v>
      </c>
      <c r="DL78" s="179">
        <f t="shared" si="63"/>
        <v>0</v>
      </c>
      <c r="DM78" s="179">
        <f t="shared" si="63"/>
        <v>0</v>
      </c>
      <c r="DN78" s="179">
        <f t="shared" si="63"/>
        <v>0</v>
      </c>
      <c r="DO78" s="179">
        <f t="shared" si="63"/>
        <v>0</v>
      </c>
      <c r="DP78" s="179">
        <f t="shared" si="63"/>
        <v>0</v>
      </c>
      <c r="DQ78" s="179">
        <f t="shared" si="63"/>
        <v>0</v>
      </c>
      <c r="DR78" s="179">
        <f t="shared" si="63"/>
        <v>0</v>
      </c>
      <c r="DS78" s="179">
        <f t="shared" si="63"/>
        <v>0</v>
      </c>
      <c r="DT78" s="179">
        <f t="shared" si="63"/>
        <v>0</v>
      </c>
      <c r="DU78" s="179">
        <f t="shared" si="63"/>
        <v>0</v>
      </c>
      <c r="DV78" s="179">
        <f t="shared" si="63"/>
        <v>0</v>
      </c>
      <c r="DW78" s="179">
        <f t="shared" si="63"/>
        <v>0</v>
      </c>
      <c r="DX78" s="179">
        <f t="shared" si="63"/>
        <v>0</v>
      </c>
      <c r="DY78" s="179">
        <f t="shared" si="63"/>
        <v>0</v>
      </c>
      <c r="DZ78" s="179">
        <f t="shared" si="63"/>
        <v>0</v>
      </c>
      <c r="EA78" s="179">
        <f t="shared" si="63"/>
        <v>0</v>
      </c>
      <c r="EB78" s="179">
        <f t="shared" ref="EB78:FR78" si="64">SUMIFS(EB20:EB76,$B$20:$B$76,"Average Score")</f>
        <v>0</v>
      </c>
      <c r="EC78" s="179">
        <f t="shared" si="64"/>
        <v>0</v>
      </c>
      <c r="ED78" s="179">
        <f t="shared" si="64"/>
        <v>0</v>
      </c>
      <c r="EE78" s="179">
        <f t="shared" si="64"/>
        <v>0</v>
      </c>
      <c r="EF78" s="179">
        <f t="shared" si="64"/>
        <v>0</v>
      </c>
      <c r="EG78" s="179">
        <f t="shared" si="64"/>
        <v>0</v>
      </c>
      <c r="EH78" s="179">
        <f t="shared" si="64"/>
        <v>0</v>
      </c>
      <c r="EI78" s="179">
        <f t="shared" si="64"/>
        <v>0</v>
      </c>
      <c r="EJ78" s="179">
        <f t="shared" si="64"/>
        <v>0</v>
      </c>
      <c r="EK78" s="179">
        <f t="shared" si="64"/>
        <v>0</v>
      </c>
      <c r="EL78" s="179">
        <f t="shared" si="64"/>
        <v>0</v>
      </c>
      <c r="EM78" s="179">
        <f t="shared" si="64"/>
        <v>0</v>
      </c>
      <c r="EN78" s="179">
        <f t="shared" si="64"/>
        <v>0</v>
      </c>
      <c r="EO78" s="179">
        <f t="shared" si="64"/>
        <v>0</v>
      </c>
      <c r="EP78" s="179">
        <f t="shared" si="64"/>
        <v>0</v>
      </c>
      <c r="EQ78" s="179">
        <f t="shared" si="64"/>
        <v>0</v>
      </c>
      <c r="ER78" s="179">
        <f t="shared" si="64"/>
        <v>0</v>
      </c>
      <c r="ES78" s="179">
        <f t="shared" si="64"/>
        <v>0</v>
      </c>
      <c r="ET78" s="179">
        <f t="shared" si="64"/>
        <v>0</v>
      </c>
      <c r="EU78" s="179">
        <f t="shared" si="64"/>
        <v>0</v>
      </c>
      <c r="EV78" s="179">
        <f t="shared" si="64"/>
        <v>0</v>
      </c>
      <c r="EW78" s="179">
        <f t="shared" si="64"/>
        <v>0</v>
      </c>
      <c r="EX78" s="179">
        <f t="shared" si="64"/>
        <v>0</v>
      </c>
      <c r="EY78" s="179">
        <f t="shared" si="64"/>
        <v>0</v>
      </c>
      <c r="EZ78" s="179">
        <f t="shared" si="64"/>
        <v>0</v>
      </c>
      <c r="FA78" s="179">
        <f t="shared" si="64"/>
        <v>0</v>
      </c>
      <c r="FB78" s="179">
        <f t="shared" si="64"/>
        <v>0</v>
      </c>
      <c r="FC78" s="179">
        <f t="shared" si="64"/>
        <v>0</v>
      </c>
      <c r="FD78" s="179">
        <f t="shared" si="64"/>
        <v>0</v>
      </c>
      <c r="FE78" s="179">
        <f t="shared" si="64"/>
        <v>0</v>
      </c>
      <c r="FF78" s="179">
        <f t="shared" si="64"/>
        <v>0</v>
      </c>
      <c r="FG78" s="179">
        <f t="shared" si="64"/>
        <v>0</v>
      </c>
      <c r="FH78" s="179">
        <f t="shared" si="64"/>
        <v>0</v>
      </c>
      <c r="FI78" s="179">
        <f t="shared" si="64"/>
        <v>0</v>
      </c>
      <c r="FJ78" s="179">
        <f t="shared" si="64"/>
        <v>0</v>
      </c>
      <c r="FK78" s="179">
        <f t="shared" si="64"/>
        <v>0</v>
      </c>
      <c r="FL78" s="179">
        <f t="shared" si="64"/>
        <v>0</v>
      </c>
      <c r="FM78" s="179">
        <f t="shared" si="64"/>
        <v>0</v>
      </c>
      <c r="FN78" s="179">
        <f t="shared" si="64"/>
        <v>0</v>
      </c>
      <c r="FO78" s="179">
        <f t="shared" si="64"/>
        <v>0</v>
      </c>
      <c r="FP78" s="179">
        <f t="shared" si="64"/>
        <v>0</v>
      </c>
      <c r="FQ78" s="179">
        <f t="shared" si="64"/>
        <v>0</v>
      </c>
      <c r="FR78" s="179">
        <f t="shared" si="64"/>
        <v>0</v>
      </c>
    </row>
    <row r="79" spans="1:174" ht="15.6" x14ac:dyDescent="0.3">
      <c r="A79" s="168"/>
      <c r="B79" s="185" t="s">
        <v>54</v>
      </c>
      <c r="C79" s="180">
        <f>C78/80</f>
        <v>0.86250000000000004</v>
      </c>
      <c r="D79" s="180">
        <f t="shared" ref="D79:BO79" si="65">D78/80</f>
        <v>0</v>
      </c>
      <c r="E79" s="180">
        <f t="shared" si="65"/>
        <v>0</v>
      </c>
      <c r="F79" s="180">
        <f t="shared" si="65"/>
        <v>0</v>
      </c>
      <c r="G79" s="180">
        <f t="shared" si="65"/>
        <v>0</v>
      </c>
      <c r="H79" s="180">
        <f t="shared" si="65"/>
        <v>0</v>
      </c>
      <c r="I79" s="180">
        <f t="shared" si="65"/>
        <v>0</v>
      </c>
      <c r="J79" s="180">
        <f t="shared" si="65"/>
        <v>0</v>
      </c>
      <c r="K79" s="180">
        <f t="shared" si="65"/>
        <v>0</v>
      </c>
      <c r="L79" s="180">
        <f t="shared" si="65"/>
        <v>0</v>
      </c>
      <c r="M79" s="180">
        <f t="shared" si="65"/>
        <v>0</v>
      </c>
      <c r="N79" s="180">
        <f t="shared" si="65"/>
        <v>0</v>
      </c>
      <c r="O79" s="180">
        <f t="shared" si="65"/>
        <v>0</v>
      </c>
      <c r="P79" s="180">
        <f t="shared" si="65"/>
        <v>0</v>
      </c>
      <c r="Q79" s="180">
        <f t="shared" si="65"/>
        <v>0</v>
      </c>
      <c r="R79" s="180">
        <f t="shared" si="65"/>
        <v>0</v>
      </c>
      <c r="S79" s="180">
        <f t="shared" si="65"/>
        <v>0</v>
      </c>
      <c r="T79" s="180">
        <f t="shared" si="65"/>
        <v>0</v>
      </c>
      <c r="U79" s="180">
        <f t="shared" si="65"/>
        <v>0</v>
      </c>
      <c r="V79" s="180">
        <f t="shared" si="65"/>
        <v>0</v>
      </c>
      <c r="W79" s="180">
        <f t="shared" si="65"/>
        <v>0</v>
      </c>
      <c r="X79" s="180">
        <f t="shared" si="65"/>
        <v>0</v>
      </c>
      <c r="Y79" s="180">
        <f t="shared" si="65"/>
        <v>0</v>
      </c>
      <c r="Z79" s="180">
        <f t="shared" si="65"/>
        <v>0</v>
      </c>
      <c r="AA79" s="180">
        <f t="shared" si="65"/>
        <v>0</v>
      </c>
      <c r="AB79" s="180">
        <f t="shared" si="65"/>
        <v>0</v>
      </c>
      <c r="AC79" s="180">
        <f t="shared" si="65"/>
        <v>0</v>
      </c>
      <c r="AD79" s="180">
        <f t="shared" si="65"/>
        <v>0</v>
      </c>
      <c r="AE79" s="180">
        <f t="shared" si="65"/>
        <v>0</v>
      </c>
      <c r="AF79" s="180">
        <f t="shared" si="65"/>
        <v>0</v>
      </c>
      <c r="AG79" s="180">
        <f t="shared" si="65"/>
        <v>0</v>
      </c>
      <c r="AH79" s="180">
        <f t="shared" si="65"/>
        <v>0</v>
      </c>
      <c r="AI79" s="180">
        <f t="shared" si="65"/>
        <v>0</v>
      </c>
      <c r="AJ79" s="180">
        <f t="shared" si="65"/>
        <v>0</v>
      </c>
      <c r="AK79" s="180">
        <f t="shared" si="65"/>
        <v>0</v>
      </c>
      <c r="AL79" s="180">
        <f t="shared" si="65"/>
        <v>0</v>
      </c>
      <c r="AM79" s="180">
        <f t="shared" si="65"/>
        <v>0</v>
      </c>
      <c r="AN79" s="180">
        <f t="shared" si="65"/>
        <v>0</v>
      </c>
      <c r="AO79" s="180">
        <f t="shared" si="65"/>
        <v>0</v>
      </c>
      <c r="AP79" s="180">
        <f t="shared" si="65"/>
        <v>0</v>
      </c>
      <c r="AQ79" s="180">
        <f t="shared" si="65"/>
        <v>0</v>
      </c>
      <c r="AR79" s="180">
        <f t="shared" si="65"/>
        <v>0</v>
      </c>
      <c r="AS79" s="180">
        <f t="shared" si="65"/>
        <v>0</v>
      </c>
      <c r="AT79" s="180">
        <f t="shared" si="65"/>
        <v>0</v>
      </c>
      <c r="AU79" s="180">
        <f t="shared" si="65"/>
        <v>0</v>
      </c>
      <c r="AV79" s="180">
        <f t="shared" si="65"/>
        <v>0</v>
      </c>
      <c r="AW79" s="180">
        <f t="shared" si="65"/>
        <v>0</v>
      </c>
      <c r="AX79" s="180">
        <f t="shared" si="65"/>
        <v>0</v>
      </c>
      <c r="AY79" s="180">
        <f t="shared" si="65"/>
        <v>0</v>
      </c>
      <c r="AZ79" s="180">
        <f t="shared" si="65"/>
        <v>0</v>
      </c>
      <c r="BA79" s="180">
        <f t="shared" si="65"/>
        <v>0</v>
      </c>
      <c r="BB79" s="180">
        <f t="shared" si="65"/>
        <v>0</v>
      </c>
      <c r="BC79" s="180">
        <f t="shared" si="65"/>
        <v>0</v>
      </c>
      <c r="BD79" s="180">
        <f t="shared" si="65"/>
        <v>0</v>
      </c>
      <c r="BE79" s="180">
        <f t="shared" si="65"/>
        <v>0</v>
      </c>
      <c r="BF79" s="180">
        <f t="shared" si="65"/>
        <v>0</v>
      </c>
      <c r="BG79" s="180">
        <f t="shared" si="65"/>
        <v>0</v>
      </c>
      <c r="BH79" s="180">
        <f t="shared" si="65"/>
        <v>0</v>
      </c>
      <c r="BI79" s="180">
        <f t="shared" si="65"/>
        <v>0</v>
      </c>
      <c r="BJ79" s="180">
        <f t="shared" si="65"/>
        <v>0</v>
      </c>
      <c r="BK79" s="180">
        <f t="shared" si="65"/>
        <v>0</v>
      </c>
      <c r="BL79" s="180">
        <f t="shared" si="65"/>
        <v>0</v>
      </c>
      <c r="BM79" s="180">
        <f t="shared" si="65"/>
        <v>0</v>
      </c>
      <c r="BN79" s="180">
        <f t="shared" si="65"/>
        <v>0</v>
      </c>
      <c r="BO79" s="180">
        <f t="shared" si="65"/>
        <v>0</v>
      </c>
      <c r="BP79" s="180">
        <f t="shared" ref="BP79:EA79" si="66">BP78/80</f>
        <v>0</v>
      </c>
      <c r="BQ79" s="180">
        <f t="shared" si="66"/>
        <v>0</v>
      </c>
      <c r="BR79" s="180">
        <f t="shared" si="66"/>
        <v>0</v>
      </c>
      <c r="BS79" s="180">
        <f t="shared" si="66"/>
        <v>0</v>
      </c>
      <c r="BT79" s="180">
        <f t="shared" si="66"/>
        <v>0</v>
      </c>
      <c r="BU79" s="180">
        <f t="shared" si="66"/>
        <v>0</v>
      </c>
      <c r="BV79" s="180">
        <f t="shared" si="66"/>
        <v>0</v>
      </c>
      <c r="BW79" s="180">
        <f t="shared" si="66"/>
        <v>0</v>
      </c>
      <c r="BX79" s="180">
        <f t="shared" si="66"/>
        <v>0</v>
      </c>
      <c r="BY79" s="180">
        <f t="shared" si="66"/>
        <v>0</v>
      </c>
      <c r="BZ79" s="180">
        <f t="shared" si="66"/>
        <v>0</v>
      </c>
      <c r="CA79" s="180">
        <f t="shared" si="66"/>
        <v>0</v>
      </c>
      <c r="CB79" s="180">
        <f t="shared" si="66"/>
        <v>0</v>
      </c>
      <c r="CC79" s="180">
        <f t="shared" si="66"/>
        <v>0</v>
      </c>
      <c r="CD79" s="180">
        <f t="shared" si="66"/>
        <v>0</v>
      </c>
      <c r="CE79" s="180">
        <f t="shared" si="66"/>
        <v>0</v>
      </c>
      <c r="CF79" s="180">
        <f t="shared" si="66"/>
        <v>0</v>
      </c>
      <c r="CG79" s="180">
        <f t="shared" si="66"/>
        <v>0</v>
      </c>
      <c r="CH79" s="180">
        <f t="shared" si="66"/>
        <v>0</v>
      </c>
      <c r="CI79" s="180">
        <f t="shared" si="66"/>
        <v>0</v>
      </c>
      <c r="CJ79" s="180">
        <f t="shared" si="66"/>
        <v>0</v>
      </c>
      <c r="CK79" s="180">
        <f t="shared" si="66"/>
        <v>0</v>
      </c>
      <c r="CL79" s="180">
        <f t="shared" si="66"/>
        <v>0</v>
      </c>
      <c r="CM79" s="180">
        <f t="shared" si="66"/>
        <v>0</v>
      </c>
      <c r="CN79" s="180">
        <f t="shared" si="66"/>
        <v>0</v>
      </c>
      <c r="CO79" s="180">
        <f t="shared" si="66"/>
        <v>0</v>
      </c>
      <c r="CP79" s="180">
        <f t="shared" si="66"/>
        <v>0</v>
      </c>
      <c r="CQ79" s="180">
        <f t="shared" si="66"/>
        <v>0</v>
      </c>
      <c r="CR79" s="180">
        <f t="shared" si="66"/>
        <v>0</v>
      </c>
      <c r="CS79" s="180">
        <f t="shared" si="66"/>
        <v>0</v>
      </c>
      <c r="CT79" s="180">
        <f t="shared" si="66"/>
        <v>0</v>
      </c>
      <c r="CU79" s="180">
        <f t="shared" si="66"/>
        <v>0</v>
      </c>
      <c r="CV79" s="180">
        <f t="shared" si="66"/>
        <v>0</v>
      </c>
      <c r="CW79" s="180">
        <f t="shared" si="66"/>
        <v>0</v>
      </c>
      <c r="CX79" s="180">
        <f t="shared" si="66"/>
        <v>0</v>
      </c>
      <c r="CY79" s="180">
        <f t="shared" si="66"/>
        <v>0</v>
      </c>
      <c r="CZ79" s="180">
        <f t="shared" si="66"/>
        <v>0</v>
      </c>
      <c r="DA79" s="180">
        <f t="shared" si="66"/>
        <v>0</v>
      </c>
      <c r="DB79" s="180">
        <f t="shared" si="66"/>
        <v>0</v>
      </c>
      <c r="DC79" s="180">
        <f t="shared" si="66"/>
        <v>0</v>
      </c>
      <c r="DD79" s="180">
        <f t="shared" si="66"/>
        <v>0</v>
      </c>
      <c r="DE79" s="180">
        <f t="shared" si="66"/>
        <v>0</v>
      </c>
      <c r="DF79" s="180">
        <f t="shared" si="66"/>
        <v>0</v>
      </c>
      <c r="DG79" s="180">
        <f t="shared" si="66"/>
        <v>0</v>
      </c>
      <c r="DH79" s="180">
        <f t="shared" si="66"/>
        <v>0</v>
      </c>
      <c r="DI79" s="180">
        <f t="shared" si="66"/>
        <v>0</v>
      </c>
      <c r="DJ79" s="180">
        <f t="shared" si="66"/>
        <v>0</v>
      </c>
      <c r="DK79" s="180">
        <f t="shared" si="66"/>
        <v>0</v>
      </c>
      <c r="DL79" s="180">
        <f t="shared" si="66"/>
        <v>0</v>
      </c>
      <c r="DM79" s="180">
        <f t="shared" si="66"/>
        <v>0</v>
      </c>
      <c r="DN79" s="180">
        <f t="shared" si="66"/>
        <v>0</v>
      </c>
      <c r="DO79" s="180">
        <f t="shared" si="66"/>
        <v>0</v>
      </c>
      <c r="DP79" s="180">
        <f t="shared" si="66"/>
        <v>0</v>
      </c>
      <c r="DQ79" s="180">
        <f t="shared" si="66"/>
        <v>0</v>
      </c>
      <c r="DR79" s="180">
        <f t="shared" si="66"/>
        <v>0</v>
      </c>
      <c r="DS79" s="180">
        <f t="shared" si="66"/>
        <v>0</v>
      </c>
      <c r="DT79" s="180">
        <f t="shared" si="66"/>
        <v>0</v>
      </c>
      <c r="DU79" s="180">
        <f t="shared" si="66"/>
        <v>0</v>
      </c>
      <c r="DV79" s="180">
        <f t="shared" si="66"/>
        <v>0</v>
      </c>
      <c r="DW79" s="180">
        <f t="shared" si="66"/>
        <v>0</v>
      </c>
      <c r="DX79" s="180">
        <f t="shared" si="66"/>
        <v>0</v>
      </c>
      <c r="DY79" s="180">
        <f t="shared" si="66"/>
        <v>0</v>
      </c>
      <c r="DZ79" s="180">
        <f t="shared" si="66"/>
        <v>0</v>
      </c>
      <c r="EA79" s="180">
        <f t="shared" si="66"/>
        <v>0</v>
      </c>
      <c r="EB79" s="180">
        <f t="shared" ref="EB79:FR79" si="67">EB78/80</f>
        <v>0</v>
      </c>
      <c r="EC79" s="180">
        <f t="shared" si="67"/>
        <v>0</v>
      </c>
      <c r="ED79" s="180">
        <f t="shared" si="67"/>
        <v>0</v>
      </c>
      <c r="EE79" s="180">
        <f t="shared" si="67"/>
        <v>0</v>
      </c>
      <c r="EF79" s="180">
        <f t="shared" si="67"/>
        <v>0</v>
      </c>
      <c r="EG79" s="180">
        <f t="shared" si="67"/>
        <v>0</v>
      </c>
      <c r="EH79" s="180">
        <f t="shared" si="67"/>
        <v>0</v>
      </c>
      <c r="EI79" s="180">
        <f t="shared" si="67"/>
        <v>0</v>
      </c>
      <c r="EJ79" s="180">
        <f t="shared" si="67"/>
        <v>0</v>
      </c>
      <c r="EK79" s="180">
        <f t="shared" si="67"/>
        <v>0</v>
      </c>
      <c r="EL79" s="180">
        <f t="shared" si="67"/>
        <v>0</v>
      </c>
      <c r="EM79" s="180">
        <f t="shared" si="67"/>
        <v>0</v>
      </c>
      <c r="EN79" s="180">
        <f t="shared" si="67"/>
        <v>0</v>
      </c>
      <c r="EO79" s="180">
        <f t="shared" si="67"/>
        <v>0</v>
      </c>
      <c r="EP79" s="180">
        <f t="shared" si="67"/>
        <v>0</v>
      </c>
      <c r="EQ79" s="180">
        <f t="shared" si="67"/>
        <v>0</v>
      </c>
      <c r="ER79" s="180">
        <f t="shared" si="67"/>
        <v>0</v>
      </c>
      <c r="ES79" s="180">
        <f t="shared" si="67"/>
        <v>0</v>
      </c>
      <c r="ET79" s="180">
        <f t="shared" si="67"/>
        <v>0</v>
      </c>
      <c r="EU79" s="180">
        <f t="shared" si="67"/>
        <v>0</v>
      </c>
      <c r="EV79" s="180">
        <f t="shared" si="67"/>
        <v>0</v>
      </c>
      <c r="EW79" s="180">
        <f t="shared" si="67"/>
        <v>0</v>
      </c>
      <c r="EX79" s="180">
        <f t="shared" si="67"/>
        <v>0</v>
      </c>
      <c r="EY79" s="180">
        <f t="shared" si="67"/>
        <v>0</v>
      </c>
      <c r="EZ79" s="180">
        <f t="shared" si="67"/>
        <v>0</v>
      </c>
      <c r="FA79" s="180">
        <f t="shared" si="67"/>
        <v>0</v>
      </c>
      <c r="FB79" s="180">
        <f t="shared" si="67"/>
        <v>0</v>
      </c>
      <c r="FC79" s="180">
        <f t="shared" si="67"/>
        <v>0</v>
      </c>
      <c r="FD79" s="180">
        <f t="shared" si="67"/>
        <v>0</v>
      </c>
      <c r="FE79" s="180">
        <f t="shared" si="67"/>
        <v>0</v>
      </c>
      <c r="FF79" s="180">
        <f t="shared" si="67"/>
        <v>0</v>
      </c>
      <c r="FG79" s="180">
        <f t="shared" si="67"/>
        <v>0</v>
      </c>
      <c r="FH79" s="180">
        <f t="shared" si="67"/>
        <v>0</v>
      </c>
      <c r="FI79" s="180">
        <f t="shared" si="67"/>
        <v>0</v>
      </c>
      <c r="FJ79" s="180">
        <f t="shared" si="67"/>
        <v>0</v>
      </c>
      <c r="FK79" s="180">
        <f t="shared" si="67"/>
        <v>0</v>
      </c>
      <c r="FL79" s="180">
        <f t="shared" si="67"/>
        <v>0</v>
      </c>
      <c r="FM79" s="180">
        <f t="shared" si="67"/>
        <v>0</v>
      </c>
      <c r="FN79" s="180">
        <f t="shared" si="67"/>
        <v>0</v>
      </c>
      <c r="FO79" s="180">
        <f t="shared" si="67"/>
        <v>0</v>
      </c>
      <c r="FP79" s="180">
        <f t="shared" si="67"/>
        <v>0</v>
      </c>
      <c r="FQ79" s="180">
        <f t="shared" si="67"/>
        <v>0</v>
      </c>
      <c r="FR79" s="180">
        <f t="shared" si="67"/>
        <v>0</v>
      </c>
    </row>
    <row r="80" spans="1:174" ht="14.4" thickBot="1" x14ac:dyDescent="0.35">
      <c r="A80" s="170"/>
      <c r="B80" s="186"/>
      <c r="C80" s="182">
        <f>ROUND(C78/80*100,1)</f>
        <v>86.3</v>
      </c>
      <c r="D80" s="182">
        <f t="shared" ref="D80:BO80" si="68">ROUND(D78/80*100,1)</f>
        <v>0</v>
      </c>
      <c r="E80" s="182">
        <f t="shared" si="68"/>
        <v>0</v>
      </c>
      <c r="F80" s="182">
        <f t="shared" si="68"/>
        <v>0</v>
      </c>
      <c r="G80" s="182">
        <f t="shared" si="68"/>
        <v>0</v>
      </c>
      <c r="H80" s="182">
        <f t="shared" si="68"/>
        <v>0</v>
      </c>
      <c r="I80" s="182">
        <f t="shared" si="68"/>
        <v>0</v>
      </c>
      <c r="J80" s="182">
        <f t="shared" si="68"/>
        <v>0</v>
      </c>
      <c r="K80" s="182">
        <f t="shared" si="68"/>
        <v>0</v>
      </c>
      <c r="L80" s="182">
        <f t="shared" si="68"/>
        <v>0</v>
      </c>
      <c r="M80" s="182">
        <f t="shared" si="68"/>
        <v>0</v>
      </c>
      <c r="N80" s="182">
        <f t="shared" si="68"/>
        <v>0</v>
      </c>
      <c r="O80" s="182">
        <f t="shared" si="68"/>
        <v>0</v>
      </c>
      <c r="P80" s="182">
        <f t="shared" si="68"/>
        <v>0</v>
      </c>
      <c r="Q80" s="182">
        <f t="shared" si="68"/>
        <v>0</v>
      </c>
      <c r="R80" s="182">
        <f t="shared" si="68"/>
        <v>0</v>
      </c>
      <c r="S80" s="182">
        <f t="shared" si="68"/>
        <v>0</v>
      </c>
      <c r="T80" s="182">
        <f t="shared" si="68"/>
        <v>0</v>
      </c>
      <c r="U80" s="182">
        <f t="shared" si="68"/>
        <v>0</v>
      </c>
      <c r="V80" s="182">
        <f t="shared" si="68"/>
        <v>0</v>
      </c>
      <c r="W80" s="182">
        <f t="shared" si="68"/>
        <v>0</v>
      </c>
      <c r="X80" s="182">
        <f t="shared" si="68"/>
        <v>0</v>
      </c>
      <c r="Y80" s="182">
        <f t="shared" si="68"/>
        <v>0</v>
      </c>
      <c r="Z80" s="182">
        <f t="shared" si="68"/>
        <v>0</v>
      </c>
      <c r="AA80" s="182">
        <f t="shared" si="68"/>
        <v>0</v>
      </c>
      <c r="AB80" s="182">
        <f t="shared" si="68"/>
        <v>0</v>
      </c>
      <c r="AC80" s="182">
        <f t="shared" si="68"/>
        <v>0</v>
      </c>
      <c r="AD80" s="182">
        <f t="shared" si="68"/>
        <v>0</v>
      </c>
      <c r="AE80" s="182">
        <f t="shared" si="68"/>
        <v>0</v>
      </c>
      <c r="AF80" s="182">
        <f t="shared" si="68"/>
        <v>0</v>
      </c>
      <c r="AG80" s="182">
        <f t="shared" si="68"/>
        <v>0</v>
      </c>
      <c r="AH80" s="182">
        <f t="shared" si="68"/>
        <v>0</v>
      </c>
      <c r="AI80" s="182">
        <f t="shared" si="68"/>
        <v>0</v>
      </c>
      <c r="AJ80" s="182">
        <f t="shared" si="68"/>
        <v>0</v>
      </c>
      <c r="AK80" s="182">
        <f t="shared" si="68"/>
        <v>0</v>
      </c>
      <c r="AL80" s="182">
        <f t="shared" si="68"/>
        <v>0</v>
      </c>
      <c r="AM80" s="182">
        <f t="shared" si="68"/>
        <v>0</v>
      </c>
      <c r="AN80" s="182">
        <f t="shared" si="68"/>
        <v>0</v>
      </c>
      <c r="AO80" s="182">
        <f t="shared" si="68"/>
        <v>0</v>
      </c>
      <c r="AP80" s="182">
        <f t="shared" si="68"/>
        <v>0</v>
      </c>
      <c r="AQ80" s="182">
        <f t="shared" si="68"/>
        <v>0</v>
      </c>
      <c r="AR80" s="182">
        <f t="shared" si="68"/>
        <v>0</v>
      </c>
      <c r="AS80" s="182">
        <f t="shared" si="68"/>
        <v>0</v>
      </c>
      <c r="AT80" s="182">
        <f t="shared" si="68"/>
        <v>0</v>
      </c>
      <c r="AU80" s="182">
        <f t="shared" si="68"/>
        <v>0</v>
      </c>
      <c r="AV80" s="182">
        <f t="shared" si="68"/>
        <v>0</v>
      </c>
      <c r="AW80" s="182">
        <f t="shared" si="68"/>
        <v>0</v>
      </c>
      <c r="AX80" s="182">
        <f t="shared" si="68"/>
        <v>0</v>
      </c>
      <c r="AY80" s="182">
        <f t="shared" si="68"/>
        <v>0</v>
      </c>
      <c r="AZ80" s="182">
        <f t="shared" si="68"/>
        <v>0</v>
      </c>
      <c r="BA80" s="182">
        <f t="shared" si="68"/>
        <v>0</v>
      </c>
      <c r="BB80" s="182">
        <f t="shared" si="68"/>
        <v>0</v>
      </c>
      <c r="BC80" s="182">
        <f t="shared" si="68"/>
        <v>0</v>
      </c>
      <c r="BD80" s="182">
        <f t="shared" si="68"/>
        <v>0</v>
      </c>
      <c r="BE80" s="182">
        <f t="shared" si="68"/>
        <v>0</v>
      </c>
      <c r="BF80" s="182">
        <f t="shared" si="68"/>
        <v>0</v>
      </c>
      <c r="BG80" s="182">
        <f t="shared" si="68"/>
        <v>0</v>
      </c>
      <c r="BH80" s="182">
        <f t="shared" si="68"/>
        <v>0</v>
      </c>
      <c r="BI80" s="182">
        <f t="shared" si="68"/>
        <v>0</v>
      </c>
      <c r="BJ80" s="182">
        <f t="shared" si="68"/>
        <v>0</v>
      </c>
      <c r="BK80" s="182">
        <f t="shared" si="68"/>
        <v>0</v>
      </c>
      <c r="BL80" s="182">
        <f t="shared" si="68"/>
        <v>0</v>
      </c>
      <c r="BM80" s="182">
        <f t="shared" si="68"/>
        <v>0</v>
      </c>
      <c r="BN80" s="182">
        <f t="shared" si="68"/>
        <v>0</v>
      </c>
      <c r="BO80" s="182">
        <f t="shared" si="68"/>
        <v>0</v>
      </c>
      <c r="BP80" s="182">
        <f t="shared" ref="BP80:EA80" si="69">ROUND(BP78/80*100,1)</f>
        <v>0</v>
      </c>
      <c r="BQ80" s="182">
        <f t="shared" si="69"/>
        <v>0</v>
      </c>
      <c r="BR80" s="182">
        <f t="shared" si="69"/>
        <v>0</v>
      </c>
      <c r="BS80" s="182">
        <f t="shared" si="69"/>
        <v>0</v>
      </c>
      <c r="BT80" s="182">
        <f t="shared" si="69"/>
        <v>0</v>
      </c>
      <c r="BU80" s="182">
        <f t="shared" si="69"/>
        <v>0</v>
      </c>
      <c r="BV80" s="182">
        <f t="shared" si="69"/>
        <v>0</v>
      </c>
      <c r="BW80" s="182">
        <f t="shared" si="69"/>
        <v>0</v>
      </c>
      <c r="BX80" s="182">
        <f t="shared" si="69"/>
        <v>0</v>
      </c>
      <c r="BY80" s="182">
        <f t="shared" si="69"/>
        <v>0</v>
      </c>
      <c r="BZ80" s="182">
        <f t="shared" si="69"/>
        <v>0</v>
      </c>
      <c r="CA80" s="182">
        <f t="shared" si="69"/>
        <v>0</v>
      </c>
      <c r="CB80" s="182">
        <f t="shared" si="69"/>
        <v>0</v>
      </c>
      <c r="CC80" s="182">
        <f t="shared" si="69"/>
        <v>0</v>
      </c>
      <c r="CD80" s="182">
        <f t="shared" si="69"/>
        <v>0</v>
      </c>
      <c r="CE80" s="182">
        <f t="shared" si="69"/>
        <v>0</v>
      </c>
      <c r="CF80" s="182">
        <f t="shared" si="69"/>
        <v>0</v>
      </c>
      <c r="CG80" s="182">
        <f t="shared" si="69"/>
        <v>0</v>
      </c>
      <c r="CH80" s="182">
        <f t="shared" si="69"/>
        <v>0</v>
      </c>
      <c r="CI80" s="182">
        <f t="shared" si="69"/>
        <v>0</v>
      </c>
      <c r="CJ80" s="182">
        <f t="shared" si="69"/>
        <v>0</v>
      </c>
      <c r="CK80" s="182">
        <f t="shared" si="69"/>
        <v>0</v>
      </c>
      <c r="CL80" s="182">
        <f t="shared" si="69"/>
        <v>0</v>
      </c>
      <c r="CM80" s="182">
        <f t="shared" si="69"/>
        <v>0</v>
      </c>
      <c r="CN80" s="182">
        <f t="shared" si="69"/>
        <v>0</v>
      </c>
      <c r="CO80" s="182">
        <f t="shared" si="69"/>
        <v>0</v>
      </c>
      <c r="CP80" s="182">
        <f t="shared" si="69"/>
        <v>0</v>
      </c>
      <c r="CQ80" s="182">
        <f t="shared" si="69"/>
        <v>0</v>
      </c>
      <c r="CR80" s="182">
        <f t="shared" si="69"/>
        <v>0</v>
      </c>
      <c r="CS80" s="182">
        <f t="shared" si="69"/>
        <v>0</v>
      </c>
      <c r="CT80" s="182">
        <f t="shared" si="69"/>
        <v>0</v>
      </c>
      <c r="CU80" s="182">
        <f t="shared" si="69"/>
        <v>0</v>
      </c>
      <c r="CV80" s="182">
        <f t="shared" si="69"/>
        <v>0</v>
      </c>
      <c r="CW80" s="182">
        <f t="shared" si="69"/>
        <v>0</v>
      </c>
      <c r="CX80" s="182">
        <f t="shared" si="69"/>
        <v>0</v>
      </c>
      <c r="CY80" s="182">
        <f t="shared" si="69"/>
        <v>0</v>
      </c>
      <c r="CZ80" s="182">
        <f t="shared" si="69"/>
        <v>0</v>
      </c>
      <c r="DA80" s="182">
        <f t="shared" si="69"/>
        <v>0</v>
      </c>
      <c r="DB80" s="182">
        <f t="shared" si="69"/>
        <v>0</v>
      </c>
      <c r="DC80" s="182">
        <f t="shared" si="69"/>
        <v>0</v>
      </c>
      <c r="DD80" s="182">
        <f t="shared" si="69"/>
        <v>0</v>
      </c>
      <c r="DE80" s="182">
        <f t="shared" si="69"/>
        <v>0</v>
      </c>
      <c r="DF80" s="182">
        <f t="shared" si="69"/>
        <v>0</v>
      </c>
      <c r="DG80" s="182">
        <f t="shared" si="69"/>
        <v>0</v>
      </c>
      <c r="DH80" s="182">
        <f t="shared" si="69"/>
        <v>0</v>
      </c>
      <c r="DI80" s="182">
        <f t="shared" si="69"/>
        <v>0</v>
      </c>
      <c r="DJ80" s="182">
        <f t="shared" si="69"/>
        <v>0</v>
      </c>
      <c r="DK80" s="182">
        <f t="shared" si="69"/>
        <v>0</v>
      </c>
      <c r="DL80" s="182">
        <f t="shared" si="69"/>
        <v>0</v>
      </c>
      <c r="DM80" s="182">
        <f t="shared" si="69"/>
        <v>0</v>
      </c>
      <c r="DN80" s="182">
        <f t="shared" si="69"/>
        <v>0</v>
      </c>
      <c r="DO80" s="182">
        <f t="shared" si="69"/>
        <v>0</v>
      </c>
      <c r="DP80" s="182">
        <f t="shared" si="69"/>
        <v>0</v>
      </c>
      <c r="DQ80" s="182">
        <f t="shared" si="69"/>
        <v>0</v>
      </c>
      <c r="DR80" s="182">
        <f t="shared" si="69"/>
        <v>0</v>
      </c>
      <c r="DS80" s="182">
        <f t="shared" si="69"/>
        <v>0</v>
      </c>
      <c r="DT80" s="182">
        <f t="shared" si="69"/>
        <v>0</v>
      </c>
      <c r="DU80" s="182">
        <f t="shared" si="69"/>
        <v>0</v>
      </c>
      <c r="DV80" s="182">
        <f t="shared" si="69"/>
        <v>0</v>
      </c>
      <c r="DW80" s="182">
        <f t="shared" si="69"/>
        <v>0</v>
      </c>
      <c r="DX80" s="182">
        <f t="shared" si="69"/>
        <v>0</v>
      </c>
      <c r="DY80" s="182">
        <f t="shared" si="69"/>
        <v>0</v>
      </c>
      <c r="DZ80" s="182">
        <f t="shared" si="69"/>
        <v>0</v>
      </c>
      <c r="EA80" s="182">
        <f t="shared" si="69"/>
        <v>0</v>
      </c>
      <c r="EB80" s="182">
        <f t="shared" ref="EB80:FR80" si="70">ROUND(EB78/80*100,1)</f>
        <v>0</v>
      </c>
      <c r="EC80" s="182">
        <f t="shared" si="70"/>
        <v>0</v>
      </c>
      <c r="ED80" s="182">
        <f t="shared" si="70"/>
        <v>0</v>
      </c>
      <c r="EE80" s="182">
        <f t="shared" si="70"/>
        <v>0</v>
      </c>
      <c r="EF80" s="182">
        <f t="shared" si="70"/>
        <v>0</v>
      </c>
      <c r="EG80" s="182">
        <f t="shared" si="70"/>
        <v>0</v>
      </c>
      <c r="EH80" s="182">
        <f t="shared" si="70"/>
        <v>0</v>
      </c>
      <c r="EI80" s="182">
        <f t="shared" si="70"/>
        <v>0</v>
      </c>
      <c r="EJ80" s="182">
        <f t="shared" si="70"/>
        <v>0</v>
      </c>
      <c r="EK80" s="182">
        <f t="shared" si="70"/>
        <v>0</v>
      </c>
      <c r="EL80" s="182">
        <f t="shared" si="70"/>
        <v>0</v>
      </c>
      <c r="EM80" s="182">
        <f t="shared" si="70"/>
        <v>0</v>
      </c>
      <c r="EN80" s="182">
        <f t="shared" si="70"/>
        <v>0</v>
      </c>
      <c r="EO80" s="182">
        <f t="shared" si="70"/>
        <v>0</v>
      </c>
      <c r="EP80" s="182">
        <f t="shared" si="70"/>
        <v>0</v>
      </c>
      <c r="EQ80" s="182">
        <f t="shared" si="70"/>
        <v>0</v>
      </c>
      <c r="ER80" s="182">
        <f t="shared" si="70"/>
        <v>0</v>
      </c>
      <c r="ES80" s="182">
        <f t="shared" si="70"/>
        <v>0</v>
      </c>
      <c r="ET80" s="182">
        <f t="shared" si="70"/>
        <v>0</v>
      </c>
      <c r="EU80" s="182">
        <f t="shared" si="70"/>
        <v>0</v>
      </c>
      <c r="EV80" s="182">
        <f t="shared" si="70"/>
        <v>0</v>
      </c>
      <c r="EW80" s="182">
        <f t="shared" si="70"/>
        <v>0</v>
      </c>
      <c r="EX80" s="182">
        <f t="shared" si="70"/>
        <v>0</v>
      </c>
      <c r="EY80" s="182">
        <f t="shared" si="70"/>
        <v>0</v>
      </c>
      <c r="EZ80" s="182">
        <f t="shared" si="70"/>
        <v>0</v>
      </c>
      <c r="FA80" s="182">
        <f t="shared" si="70"/>
        <v>0</v>
      </c>
      <c r="FB80" s="182">
        <f t="shared" si="70"/>
        <v>0</v>
      </c>
      <c r="FC80" s="182">
        <f t="shared" si="70"/>
        <v>0</v>
      </c>
      <c r="FD80" s="182">
        <f t="shared" si="70"/>
        <v>0</v>
      </c>
      <c r="FE80" s="182">
        <f t="shared" si="70"/>
        <v>0</v>
      </c>
      <c r="FF80" s="182">
        <f t="shared" si="70"/>
        <v>0</v>
      </c>
      <c r="FG80" s="182">
        <f t="shared" si="70"/>
        <v>0</v>
      </c>
      <c r="FH80" s="182">
        <f t="shared" si="70"/>
        <v>0</v>
      </c>
      <c r="FI80" s="182">
        <f t="shared" si="70"/>
        <v>0</v>
      </c>
      <c r="FJ80" s="182">
        <f t="shared" si="70"/>
        <v>0</v>
      </c>
      <c r="FK80" s="182">
        <f t="shared" si="70"/>
        <v>0</v>
      </c>
      <c r="FL80" s="182">
        <f t="shared" si="70"/>
        <v>0</v>
      </c>
      <c r="FM80" s="182">
        <f t="shared" si="70"/>
        <v>0</v>
      </c>
      <c r="FN80" s="182">
        <f t="shared" si="70"/>
        <v>0</v>
      </c>
      <c r="FO80" s="182">
        <f t="shared" si="70"/>
        <v>0</v>
      </c>
      <c r="FP80" s="182">
        <f t="shared" si="70"/>
        <v>0</v>
      </c>
      <c r="FQ80" s="182">
        <f t="shared" si="70"/>
        <v>0</v>
      </c>
      <c r="FR80" s="182">
        <f t="shared" si="70"/>
        <v>0</v>
      </c>
    </row>
    <row r="81" spans="2:174" ht="14.4" thickBot="1" x14ac:dyDescent="0.35"/>
    <row r="82" spans="2:174" ht="14.4" thickBot="1" x14ac:dyDescent="0.35">
      <c r="B82" s="187" t="str">
        <f>"Average Score : "&amp;ROUND(AVERAGE($C$79:$XFD$79)*100,1)&amp;"%"</f>
        <v>Average Score : 0.5%</v>
      </c>
    </row>
    <row r="83" spans="2:174" s="115" customFormat="1" ht="31.5" customHeight="1" x14ac:dyDescent="0.3">
      <c r="B83" s="128" t="s">
        <v>55</v>
      </c>
      <c r="C83" s="129" t="str">
        <f>IF(C80&gt;=$B$107,$B$106,IF(C80&gt;=$B$105,$B$104,IF(C80&gt;=$B$103,$B$102,IF(C80&gt;=$B$101,$B$100,IF(C80&gt;=$B$99,$B$98,"USAT")))))</f>
        <v>Very Good</v>
      </c>
      <c r="D83" s="129" t="str">
        <f t="shared" ref="D83:BO83" si="71">IF(D80&gt;=$B$107,$B$106,IF(D80&gt;=$B$105,$B$104,IF(D80&gt;=$B$103,$B$102,IF(D80&gt;=$B$101,$B$100,IF(D80&gt;=$B$99,$B$98,"USAT")))))</f>
        <v>Below Average</v>
      </c>
      <c r="E83" s="129" t="str">
        <f t="shared" si="71"/>
        <v>Below Average</v>
      </c>
      <c r="F83" s="129" t="str">
        <f t="shared" si="71"/>
        <v>Below Average</v>
      </c>
      <c r="G83" s="129" t="str">
        <f t="shared" si="71"/>
        <v>Below Average</v>
      </c>
      <c r="H83" s="129" t="str">
        <f t="shared" si="71"/>
        <v>Below Average</v>
      </c>
      <c r="I83" s="129" t="str">
        <f t="shared" si="71"/>
        <v>Below Average</v>
      </c>
      <c r="J83" s="129" t="str">
        <f t="shared" si="71"/>
        <v>Below Average</v>
      </c>
      <c r="K83" s="129" t="str">
        <f t="shared" si="71"/>
        <v>Below Average</v>
      </c>
      <c r="L83" s="129" t="str">
        <f t="shared" si="71"/>
        <v>Below Average</v>
      </c>
      <c r="M83" s="129" t="str">
        <f t="shared" si="71"/>
        <v>Below Average</v>
      </c>
      <c r="N83" s="129" t="str">
        <f t="shared" si="71"/>
        <v>Below Average</v>
      </c>
      <c r="O83" s="129" t="str">
        <f t="shared" si="71"/>
        <v>Below Average</v>
      </c>
      <c r="P83" s="129" t="str">
        <f t="shared" si="71"/>
        <v>Below Average</v>
      </c>
      <c r="Q83" s="129" t="str">
        <f t="shared" si="71"/>
        <v>Below Average</v>
      </c>
      <c r="R83" s="129" t="str">
        <f t="shared" si="71"/>
        <v>Below Average</v>
      </c>
      <c r="S83" s="129" t="str">
        <f t="shared" si="71"/>
        <v>Below Average</v>
      </c>
      <c r="T83" s="129" t="str">
        <f t="shared" si="71"/>
        <v>Below Average</v>
      </c>
      <c r="U83" s="129" t="str">
        <f t="shared" si="71"/>
        <v>Below Average</v>
      </c>
      <c r="V83" s="129" t="str">
        <f t="shared" si="71"/>
        <v>Below Average</v>
      </c>
      <c r="W83" s="129" t="str">
        <f t="shared" si="71"/>
        <v>Below Average</v>
      </c>
      <c r="X83" s="129" t="str">
        <f t="shared" si="71"/>
        <v>Below Average</v>
      </c>
      <c r="Y83" s="129" t="str">
        <f t="shared" si="71"/>
        <v>Below Average</v>
      </c>
      <c r="Z83" s="129" t="str">
        <f t="shared" si="71"/>
        <v>Below Average</v>
      </c>
      <c r="AA83" s="129" t="str">
        <f t="shared" si="71"/>
        <v>Below Average</v>
      </c>
      <c r="AB83" s="129" t="str">
        <f t="shared" si="71"/>
        <v>Below Average</v>
      </c>
      <c r="AC83" s="129" t="str">
        <f t="shared" si="71"/>
        <v>Below Average</v>
      </c>
      <c r="AD83" s="129" t="str">
        <f t="shared" si="71"/>
        <v>Below Average</v>
      </c>
      <c r="AE83" s="129" t="str">
        <f t="shared" si="71"/>
        <v>Below Average</v>
      </c>
      <c r="AF83" s="129" t="str">
        <f t="shared" si="71"/>
        <v>Below Average</v>
      </c>
      <c r="AG83" s="129" t="str">
        <f t="shared" si="71"/>
        <v>Below Average</v>
      </c>
      <c r="AH83" s="129" t="str">
        <f t="shared" si="71"/>
        <v>Below Average</v>
      </c>
      <c r="AI83" s="129" t="str">
        <f t="shared" si="71"/>
        <v>Below Average</v>
      </c>
      <c r="AJ83" s="129" t="str">
        <f t="shared" si="71"/>
        <v>Below Average</v>
      </c>
      <c r="AK83" s="129" t="str">
        <f t="shared" si="71"/>
        <v>Below Average</v>
      </c>
      <c r="AL83" s="129" t="str">
        <f t="shared" si="71"/>
        <v>Below Average</v>
      </c>
      <c r="AM83" s="129" t="str">
        <f t="shared" si="71"/>
        <v>Below Average</v>
      </c>
      <c r="AN83" s="129" t="str">
        <f t="shared" si="71"/>
        <v>Below Average</v>
      </c>
      <c r="AO83" s="129" t="str">
        <f t="shared" si="71"/>
        <v>Below Average</v>
      </c>
      <c r="AP83" s="129" t="str">
        <f t="shared" si="71"/>
        <v>Below Average</v>
      </c>
      <c r="AQ83" s="129" t="str">
        <f t="shared" si="71"/>
        <v>Below Average</v>
      </c>
      <c r="AR83" s="129" t="str">
        <f t="shared" si="71"/>
        <v>Below Average</v>
      </c>
      <c r="AS83" s="129" t="str">
        <f t="shared" si="71"/>
        <v>Below Average</v>
      </c>
      <c r="AT83" s="129" t="str">
        <f t="shared" si="71"/>
        <v>Below Average</v>
      </c>
      <c r="AU83" s="129" t="str">
        <f t="shared" si="71"/>
        <v>Below Average</v>
      </c>
      <c r="AV83" s="129" t="str">
        <f t="shared" si="71"/>
        <v>Below Average</v>
      </c>
      <c r="AW83" s="129" t="str">
        <f t="shared" si="71"/>
        <v>Below Average</v>
      </c>
      <c r="AX83" s="129" t="str">
        <f t="shared" si="71"/>
        <v>Below Average</v>
      </c>
      <c r="AY83" s="129" t="str">
        <f t="shared" si="71"/>
        <v>Below Average</v>
      </c>
      <c r="AZ83" s="129" t="str">
        <f t="shared" si="71"/>
        <v>Below Average</v>
      </c>
      <c r="BA83" s="129" t="str">
        <f t="shared" si="71"/>
        <v>Below Average</v>
      </c>
      <c r="BB83" s="129" t="str">
        <f t="shared" si="71"/>
        <v>Below Average</v>
      </c>
      <c r="BC83" s="129" t="str">
        <f t="shared" si="71"/>
        <v>Below Average</v>
      </c>
      <c r="BD83" s="129" t="str">
        <f t="shared" si="71"/>
        <v>Below Average</v>
      </c>
      <c r="BE83" s="129" t="str">
        <f t="shared" si="71"/>
        <v>Below Average</v>
      </c>
      <c r="BF83" s="129" t="str">
        <f t="shared" si="71"/>
        <v>Below Average</v>
      </c>
      <c r="BG83" s="129" t="str">
        <f t="shared" si="71"/>
        <v>Below Average</v>
      </c>
      <c r="BH83" s="129" t="str">
        <f t="shared" si="71"/>
        <v>Below Average</v>
      </c>
      <c r="BI83" s="129" t="str">
        <f t="shared" si="71"/>
        <v>Below Average</v>
      </c>
      <c r="BJ83" s="129" t="str">
        <f t="shared" si="71"/>
        <v>Below Average</v>
      </c>
      <c r="BK83" s="129" t="str">
        <f t="shared" si="71"/>
        <v>Below Average</v>
      </c>
      <c r="BL83" s="129" t="str">
        <f t="shared" si="71"/>
        <v>Below Average</v>
      </c>
      <c r="BM83" s="129" t="str">
        <f t="shared" si="71"/>
        <v>Below Average</v>
      </c>
      <c r="BN83" s="129" t="str">
        <f t="shared" si="71"/>
        <v>Below Average</v>
      </c>
      <c r="BO83" s="129" t="str">
        <f t="shared" si="71"/>
        <v>Below Average</v>
      </c>
      <c r="BP83" s="129" t="str">
        <f t="shared" ref="BP83:CN83" si="72">IF(BP80&gt;=$B$107,$B$106,IF(BP80&gt;=$B$105,$B$104,IF(BP80&gt;=$B$103,$B$102,IF(BP80&gt;=$B$101,$B$100,IF(BP80&gt;=$B$99,$B$98,"USAT")))))</f>
        <v>Below Average</v>
      </c>
      <c r="BQ83" s="129" t="str">
        <f t="shared" si="72"/>
        <v>Below Average</v>
      </c>
      <c r="BR83" s="129" t="str">
        <f t="shared" si="72"/>
        <v>Below Average</v>
      </c>
      <c r="BS83" s="129" t="str">
        <f t="shared" si="72"/>
        <v>Below Average</v>
      </c>
      <c r="BT83" s="129" t="str">
        <f t="shared" si="72"/>
        <v>Below Average</v>
      </c>
      <c r="BU83" s="129" t="str">
        <f t="shared" si="72"/>
        <v>Below Average</v>
      </c>
      <c r="BV83" s="129" t="str">
        <f t="shared" si="72"/>
        <v>Below Average</v>
      </c>
      <c r="BW83" s="129" t="str">
        <f t="shared" si="72"/>
        <v>Below Average</v>
      </c>
      <c r="BX83" s="129" t="str">
        <f t="shared" si="72"/>
        <v>Below Average</v>
      </c>
      <c r="BY83" s="129" t="str">
        <f t="shared" si="72"/>
        <v>Below Average</v>
      </c>
      <c r="BZ83" s="129" t="str">
        <f t="shared" si="72"/>
        <v>Below Average</v>
      </c>
      <c r="CA83" s="129" t="str">
        <f t="shared" si="72"/>
        <v>Below Average</v>
      </c>
      <c r="CB83" s="129" t="str">
        <f t="shared" si="72"/>
        <v>Below Average</v>
      </c>
      <c r="CC83" s="129" t="str">
        <f t="shared" si="72"/>
        <v>Below Average</v>
      </c>
      <c r="CD83" s="129" t="str">
        <f t="shared" si="72"/>
        <v>Below Average</v>
      </c>
      <c r="CE83" s="129" t="str">
        <f t="shared" si="72"/>
        <v>Below Average</v>
      </c>
      <c r="CF83" s="129" t="str">
        <f t="shared" si="72"/>
        <v>Below Average</v>
      </c>
      <c r="CG83" s="129" t="str">
        <f t="shared" si="72"/>
        <v>Below Average</v>
      </c>
      <c r="CH83" s="129" t="str">
        <f t="shared" si="72"/>
        <v>Below Average</v>
      </c>
      <c r="CI83" s="129" t="str">
        <f t="shared" si="72"/>
        <v>Below Average</v>
      </c>
      <c r="CJ83" s="129" t="str">
        <f t="shared" si="72"/>
        <v>Below Average</v>
      </c>
      <c r="CK83" s="129" t="str">
        <f t="shared" si="72"/>
        <v>Below Average</v>
      </c>
      <c r="CL83" s="129" t="str">
        <f t="shared" si="72"/>
        <v>Below Average</v>
      </c>
      <c r="CM83" s="129" t="str">
        <f t="shared" si="72"/>
        <v>Below Average</v>
      </c>
      <c r="CN83" s="129" t="str">
        <f t="shared" si="72"/>
        <v>Below Average</v>
      </c>
      <c r="CO83" s="129" t="str">
        <f t="shared" ref="CO83:CP83" si="73">IF(CO80&gt;=$B$107,$B$106,IF(CO80&gt;=$B$105,$B$104,IF(CO80&gt;=$B$103,$B$102,IF(CO80&gt;=$B$101,$B$100,IF(CO80&gt;=$B$99,$B$98,"USAT")))))</f>
        <v>Below Average</v>
      </c>
      <c r="CP83" s="129" t="str">
        <f t="shared" si="73"/>
        <v>Below Average</v>
      </c>
      <c r="CQ83" s="129" t="str">
        <f t="shared" ref="CQ83:FB83" si="74">IF(CQ80&gt;=$B$107,$B$106,IF(CQ80&gt;=$B$105,$B$104,IF(CQ80&gt;=$B$103,$B$102,IF(CQ80&gt;=$B$101,$B$100,IF(CQ80&gt;=$B$99,$B$98,"USAT")))))</f>
        <v>Below Average</v>
      </c>
      <c r="CR83" s="129" t="str">
        <f t="shared" si="74"/>
        <v>Below Average</v>
      </c>
      <c r="CS83" s="129" t="str">
        <f t="shared" si="74"/>
        <v>Below Average</v>
      </c>
      <c r="CT83" s="129" t="str">
        <f t="shared" si="74"/>
        <v>Below Average</v>
      </c>
      <c r="CU83" s="129" t="str">
        <f t="shared" si="74"/>
        <v>Below Average</v>
      </c>
      <c r="CV83" s="129" t="str">
        <f t="shared" si="74"/>
        <v>Below Average</v>
      </c>
      <c r="CW83" s="129" t="str">
        <f t="shared" si="74"/>
        <v>Below Average</v>
      </c>
      <c r="CX83" s="129" t="str">
        <f t="shared" si="74"/>
        <v>Below Average</v>
      </c>
      <c r="CY83" s="129" t="str">
        <f t="shared" si="74"/>
        <v>Below Average</v>
      </c>
      <c r="CZ83" s="129" t="str">
        <f t="shared" si="74"/>
        <v>Below Average</v>
      </c>
      <c r="DA83" s="129" t="str">
        <f t="shared" si="74"/>
        <v>Below Average</v>
      </c>
      <c r="DB83" s="129" t="str">
        <f t="shared" si="74"/>
        <v>Below Average</v>
      </c>
      <c r="DC83" s="129" t="str">
        <f t="shared" si="74"/>
        <v>Below Average</v>
      </c>
      <c r="DD83" s="129" t="str">
        <f t="shared" si="74"/>
        <v>Below Average</v>
      </c>
      <c r="DE83" s="129" t="str">
        <f t="shared" si="74"/>
        <v>Below Average</v>
      </c>
      <c r="DF83" s="129" t="str">
        <f t="shared" si="74"/>
        <v>Below Average</v>
      </c>
      <c r="DG83" s="129" t="str">
        <f t="shared" si="74"/>
        <v>Below Average</v>
      </c>
      <c r="DH83" s="129" t="str">
        <f t="shared" si="74"/>
        <v>Below Average</v>
      </c>
      <c r="DI83" s="129" t="str">
        <f t="shared" si="74"/>
        <v>Below Average</v>
      </c>
      <c r="DJ83" s="129" t="str">
        <f t="shared" si="74"/>
        <v>Below Average</v>
      </c>
      <c r="DK83" s="129" t="str">
        <f t="shared" si="74"/>
        <v>Below Average</v>
      </c>
      <c r="DL83" s="129" t="str">
        <f t="shared" si="74"/>
        <v>Below Average</v>
      </c>
      <c r="DM83" s="129" t="str">
        <f t="shared" si="74"/>
        <v>Below Average</v>
      </c>
      <c r="DN83" s="129" t="str">
        <f t="shared" si="74"/>
        <v>Below Average</v>
      </c>
      <c r="DO83" s="129" t="str">
        <f t="shared" si="74"/>
        <v>Below Average</v>
      </c>
      <c r="DP83" s="129" t="str">
        <f t="shared" si="74"/>
        <v>Below Average</v>
      </c>
      <c r="DQ83" s="129" t="str">
        <f t="shared" si="74"/>
        <v>Below Average</v>
      </c>
      <c r="DR83" s="129" t="str">
        <f t="shared" si="74"/>
        <v>Below Average</v>
      </c>
      <c r="DS83" s="129" t="str">
        <f t="shared" si="74"/>
        <v>Below Average</v>
      </c>
      <c r="DT83" s="129" t="str">
        <f t="shared" si="74"/>
        <v>Below Average</v>
      </c>
      <c r="DU83" s="129" t="str">
        <f t="shared" si="74"/>
        <v>Below Average</v>
      </c>
      <c r="DV83" s="129" t="str">
        <f t="shared" si="74"/>
        <v>Below Average</v>
      </c>
      <c r="DW83" s="129" t="str">
        <f t="shared" si="74"/>
        <v>Below Average</v>
      </c>
      <c r="DX83" s="129" t="str">
        <f t="shared" si="74"/>
        <v>Below Average</v>
      </c>
      <c r="DY83" s="129" t="str">
        <f t="shared" si="74"/>
        <v>Below Average</v>
      </c>
      <c r="DZ83" s="129" t="str">
        <f t="shared" si="74"/>
        <v>Below Average</v>
      </c>
      <c r="EA83" s="129" t="str">
        <f t="shared" si="74"/>
        <v>Below Average</v>
      </c>
      <c r="EB83" s="129" t="str">
        <f t="shared" si="74"/>
        <v>Below Average</v>
      </c>
      <c r="EC83" s="129" t="str">
        <f t="shared" si="74"/>
        <v>Below Average</v>
      </c>
      <c r="ED83" s="129" t="str">
        <f t="shared" si="74"/>
        <v>Below Average</v>
      </c>
      <c r="EE83" s="129" t="str">
        <f t="shared" si="74"/>
        <v>Below Average</v>
      </c>
      <c r="EF83" s="129" t="str">
        <f t="shared" si="74"/>
        <v>Below Average</v>
      </c>
      <c r="EG83" s="129" t="str">
        <f t="shared" si="74"/>
        <v>Below Average</v>
      </c>
      <c r="EH83" s="129" t="str">
        <f t="shared" si="74"/>
        <v>Below Average</v>
      </c>
      <c r="EI83" s="129" t="str">
        <f t="shared" si="74"/>
        <v>Below Average</v>
      </c>
      <c r="EJ83" s="129" t="str">
        <f t="shared" si="74"/>
        <v>Below Average</v>
      </c>
      <c r="EK83" s="129" t="str">
        <f t="shared" si="74"/>
        <v>Below Average</v>
      </c>
      <c r="EL83" s="129" t="str">
        <f t="shared" si="74"/>
        <v>Below Average</v>
      </c>
      <c r="EM83" s="129" t="str">
        <f t="shared" si="74"/>
        <v>Below Average</v>
      </c>
      <c r="EN83" s="129" t="str">
        <f t="shared" si="74"/>
        <v>Below Average</v>
      </c>
      <c r="EO83" s="129" t="str">
        <f t="shared" si="74"/>
        <v>Below Average</v>
      </c>
      <c r="EP83" s="129" t="str">
        <f t="shared" si="74"/>
        <v>Below Average</v>
      </c>
      <c r="EQ83" s="129" t="str">
        <f t="shared" si="74"/>
        <v>Below Average</v>
      </c>
      <c r="ER83" s="129" t="str">
        <f t="shared" si="74"/>
        <v>Below Average</v>
      </c>
      <c r="ES83" s="129" t="str">
        <f t="shared" si="74"/>
        <v>Below Average</v>
      </c>
      <c r="ET83" s="129" t="str">
        <f t="shared" si="74"/>
        <v>Below Average</v>
      </c>
      <c r="EU83" s="129" t="str">
        <f t="shared" si="74"/>
        <v>Below Average</v>
      </c>
      <c r="EV83" s="129" t="str">
        <f t="shared" si="74"/>
        <v>Below Average</v>
      </c>
      <c r="EW83" s="129" t="str">
        <f t="shared" si="74"/>
        <v>Below Average</v>
      </c>
      <c r="EX83" s="129" t="str">
        <f t="shared" si="74"/>
        <v>Below Average</v>
      </c>
      <c r="EY83" s="129" t="str">
        <f t="shared" si="74"/>
        <v>Below Average</v>
      </c>
      <c r="EZ83" s="129" t="str">
        <f t="shared" si="74"/>
        <v>Below Average</v>
      </c>
      <c r="FA83" s="129" t="str">
        <f t="shared" si="74"/>
        <v>Below Average</v>
      </c>
      <c r="FB83" s="129" t="str">
        <f t="shared" si="74"/>
        <v>Below Average</v>
      </c>
      <c r="FC83" s="129" t="str">
        <f t="shared" ref="FC83:FR83" si="75">IF(FC80&gt;=$B$107,$B$106,IF(FC80&gt;=$B$105,$B$104,IF(FC80&gt;=$B$103,$B$102,IF(FC80&gt;=$B$101,$B$100,IF(FC80&gt;=$B$99,$B$98,"USAT")))))</f>
        <v>Below Average</v>
      </c>
      <c r="FD83" s="129" t="str">
        <f t="shared" si="75"/>
        <v>Below Average</v>
      </c>
      <c r="FE83" s="129" t="str">
        <f t="shared" si="75"/>
        <v>Below Average</v>
      </c>
      <c r="FF83" s="129" t="str">
        <f t="shared" si="75"/>
        <v>Below Average</v>
      </c>
      <c r="FG83" s="129" t="str">
        <f t="shared" si="75"/>
        <v>Below Average</v>
      </c>
      <c r="FH83" s="129" t="str">
        <f t="shared" si="75"/>
        <v>Below Average</v>
      </c>
      <c r="FI83" s="129" t="str">
        <f t="shared" si="75"/>
        <v>Below Average</v>
      </c>
      <c r="FJ83" s="129" t="str">
        <f t="shared" si="75"/>
        <v>Below Average</v>
      </c>
      <c r="FK83" s="129" t="str">
        <f t="shared" si="75"/>
        <v>Below Average</v>
      </c>
      <c r="FL83" s="129" t="str">
        <f t="shared" si="75"/>
        <v>Below Average</v>
      </c>
      <c r="FM83" s="129" t="str">
        <f t="shared" si="75"/>
        <v>Below Average</v>
      </c>
      <c r="FN83" s="129" t="str">
        <f t="shared" si="75"/>
        <v>Below Average</v>
      </c>
      <c r="FO83" s="129" t="str">
        <f t="shared" si="75"/>
        <v>Below Average</v>
      </c>
      <c r="FP83" s="129" t="str">
        <f t="shared" si="75"/>
        <v>Below Average</v>
      </c>
      <c r="FQ83" s="129" t="str">
        <f t="shared" si="75"/>
        <v>Below Average</v>
      </c>
      <c r="FR83" s="129" t="str">
        <f t="shared" si="75"/>
        <v>Below Average</v>
      </c>
    </row>
    <row r="84" spans="2:174" ht="14.4" thickBot="1" x14ac:dyDescent="0.35"/>
    <row r="85" spans="2:174" x14ac:dyDescent="0.3">
      <c r="B85" s="219" t="s">
        <v>64</v>
      </c>
      <c r="C85" s="219" t="s">
        <v>65</v>
      </c>
      <c r="D85" s="217" t="s">
        <v>66</v>
      </c>
      <c r="E85" s="218"/>
      <c r="F85" s="130" t="s">
        <v>67</v>
      </c>
      <c r="G85" s="131" t="s">
        <v>78</v>
      </c>
    </row>
    <row r="86" spans="2:174" ht="15.75" customHeight="1" thickBot="1" x14ac:dyDescent="0.35">
      <c r="B86" s="220"/>
      <c r="C86" s="220"/>
      <c r="D86" s="132" t="s">
        <v>77</v>
      </c>
      <c r="E86" s="133" t="s">
        <v>68</v>
      </c>
      <c r="F86" s="134" t="s">
        <v>77</v>
      </c>
      <c r="G86" s="135" t="s">
        <v>76</v>
      </c>
    </row>
    <row r="87" spans="2:174" ht="29.25" customHeight="1" thickBot="1" x14ac:dyDescent="0.35">
      <c r="B87" s="136" t="s">
        <v>58</v>
      </c>
      <c r="C87" s="137" t="s">
        <v>69</v>
      </c>
      <c r="D87" s="138">
        <f>$F$94*E87</f>
        <v>8.85</v>
      </c>
      <c r="E87" s="139">
        <v>0.05</v>
      </c>
      <c r="F87" s="140">
        <f>COUNTIF($C$79:$XFD$79,"&gt;="&amp;G87)</f>
        <v>172</v>
      </c>
      <c r="G87" s="141">
        <v>0</v>
      </c>
    </row>
    <row r="88" spans="2:174" x14ac:dyDescent="0.3">
      <c r="B88" s="221" t="s">
        <v>59</v>
      </c>
      <c r="C88" s="138" t="s">
        <v>70</v>
      </c>
      <c r="D88" s="138">
        <f t="shared" ref="D88:D93" si="76">$F$94*E88</f>
        <v>8.85</v>
      </c>
      <c r="E88" s="139">
        <v>0.05</v>
      </c>
      <c r="F88" s="140">
        <f t="shared" ref="F88:F93" si="77">COUNTIF($C$79:$XFD$79,"&gt;="&amp;G88)</f>
        <v>1</v>
      </c>
      <c r="G88" s="142">
        <v>0.5</v>
      </c>
    </row>
    <row r="89" spans="2:174" ht="15.75" customHeight="1" thickBot="1" x14ac:dyDescent="0.35">
      <c r="B89" s="222"/>
      <c r="C89" s="143" t="s">
        <v>71</v>
      </c>
      <c r="D89" s="143">
        <f t="shared" si="76"/>
        <v>17.7</v>
      </c>
      <c r="E89" s="144">
        <v>0.1</v>
      </c>
      <c r="F89" s="145">
        <f t="shared" si="77"/>
        <v>1</v>
      </c>
      <c r="G89" s="146">
        <v>0.6</v>
      </c>
    </row>
    <row r="90" spans="2:174" x14ac:dyDescent="0.3">
      <c r="B90" s="221" t="s">
        <v>60</v>
      </c>
      <c r="C90" s="147" t="s">
        <v>72</v>
      </c>
      <c r="D90" s="147">
        <f t="shared" si="76"/>
        <v>44.25</v>
      </c>
      <c r="E90" s="148">
        <v>0.25</v>
      </c>
      <c r="F90" s="130">
        <f t="shared" si="77"/>
        <v>1</v>
      </c>
      <c r="G90" s="149">
        <v>0.7</v>
      </c>
    </row>
    <row r="91" spans="2:174" ht="14.4" thickBot="1" x14ac:dyDescent="0.35">
      <c r="B91" s="222"/>
      <c r="C91" s="133" t="s">
        <v>73</v>
      </c>
      <c r="D91" s="133">
        <f t="shared" si="76"/>
        <v>44.25</v>
      </c>
      <c r="E91" s="150">
        <v>0.25</v>
      </c>
      <c r="F91" s="134">
        <f t="shared" si="77"/>
        <v>1</v>
      </c>
      <c r="G91" s="151">
        <v>0.75</v>
      </c>
    </row>
    <row r="92" spans="2:174" ht="14.4" thickBot="1" x14ac:dyDescent="0.35">
      <c r="B92" s="152" t="s">
        <v>61</v>
      </c>
      <c r="C92" s="153" t="s">
        <v>74</v>
      </c>
      <c r="D92" s="153">
        <f t="shared" si="76"/>
        <v>35.4</v>
      </c>
      <c r="E92" s="154">
        <v>0.2</v>
      </c>
      <c r="F92" s="155">
        <f t="shared" si="77"/>
        <v>1</v>
      </c>
      <c r="G92" s="156">
        <v>0.8</v>
      </c>
    </row>
    <row r="93" spans="2:174" ht="14.4" thickBot="1" x14ac:dyDescent="0.35">
      <c r="B93" s="152" t="s">
        <v>62</v>
      </c>
      <c r="C93" s="153" t="s">
        <v>75</v>
      </c>
      <c r="D93" s="153">
        <f t="shared" si="76"/>
        <v>17.7</v>
      </c>
      <c r="E93" s="154">
        <v>0.1</v>
      </c>
      <c r="F93" s="155">
        <f t="shared" si="77"/>
        <v>0</v>
      </c>
      <c r="G93" s="156">
        <v>0.9</v>
      </c>
    </row>
    <row r="94" spans="2:174" ht="15" customHeight="1" thickBot="1" x14ac:dyDescent="0.35">
      <c r="D94" s="221" t="s">
        <v>79</v>
      </c>
      <c r="E94" s="223"/>
      <c r="F94" s="157">
        <f>SUM(F87:F93)</f>
        <v>177</v>
      </c>
    </row>
    <row r="95" spans="2:174" ht="14.4" thickBot="1" x14ac:dyDescent="0.35">
      <c r="D95" s="215" t="s">
        <v>80</v>
      </c>
      <c r="E95" s="216"/>
      <c r="F95" s="158">
        <f>COUNTA($C$5:$XFD$5)</f>
        <v>90</v>
      </c>
    </row>
    <row r="97" spans="2:2" x14ac:dyDescent="0.3">
      <c r="B97" s="121" t="s">
        <v>63</v>
      </c>
    </row>
    <row r="98" spans="2:2" x14ac:dyDescent="0.3">
      <c r="B98" s="159" t="s">
        <v>58</v>
      </c>
    </row>
    <row r="99" spans="2:2" x14ac:dyDescent="0.3">
      <c r="B99" s="159">
        <v>0</v>
      </c>
    </row>
    <row r="100" spans="2:2" x14ac:dyDescent="0.3">
      <c r="B100" s="160" t="s">
        <v>59</v>
      </c>
    </row>
    <row r="101" spans="2:2" x14ac:dyDescent="0.3">
      <c r="B101" s="160">
        <v>50</v>
      </c>
    </row>
    <row r="102" spans="2:2" x14ac:dyDescent="0.3">
      <c r="B102" s="161" t="s">
        <v>60</v>
      </c>
    </row>
    <row r="103" spans="2:2" x14ac:dyDescent="0.3">
      <c r="B103" s="161">
        <v>70</v>
      </c>
    </row>
    <row r="104" spans="2:2" x14ac:dyDescent="0.3">
      <c r="B104" s="162" t="s">
        <v>61</v>
      </c>
    </row>
    <row r="105" spans="2:2" x14ac:dyDescent="0.3">
      <c r="B105" s="162">
        <v>80</v>
      </c>
    </row>
    <row r="106" spans="2:2" x14ac:dyDescent="0.3">
      <c r="B106" s="163" t="s">
        <v>62</v>
      </c>
    </row>
    <row r="107" spans="2:2" x14ac:dyDescent="0.3">
      <c r="B107" s="163">
        <v>90</v>
      </c>
    </row>
  </sheetData>
  <mergeCells count="7">
    <mergeCell ref="D95:E95"/>
    <mergeCell ref="D85:E85"/>
    <mergeCell ref="C85:C86"/>
    <mergeCell ref="B85:B86"/>
    <mergeCell ref="B88:B89"/>
    <mergeCell ref="B90:B91"/>
    <mergeCell ref="D94:E94"/>
  </mergeCells>
  <conditionalFormatting sqref="FS83:XFD83 A83:CN83">
    <cfRule type="cellIs" dxfId="15" priority="14" operator="equal">
      <formula>$B$106</formula>
    </cfRule>
    <cfRule type="cellIs" dxfId="14" priority="15" operator="equal">
      <formula>$B$104</formula>
    </cfRule>
    <cfRule type="cellIs" dxfId="13" priority="16" operator="equal">
      <formula>$B$102</formula>
    </cfRule>
    <cfRule type="cellIs" dxfId="12" priority="17" operator="equal">
      <formula>$B$100</formula>
    </cfRule>
    <cfRule type="cellIs" dxfId="11" priority="18" operator="equal">
      <formula>$B$98</formula>
    </cfRule>
  </conditionalFormatting>
  <conditionalFormatting sqref="C2:FR2">
    <cfRule type="cellIs" dxfId="10" priority="13" operator="notEqual">
      <formula>C$3</formula>
    </cfRule>
  </conditionalFormatting>
  <conditionalFormatting sqref="CO83">
    <cfRule type="cellIs" dxfId="9" priority="8" operator="equal">
      <formula>$B$106</formula>
    </cfRule>
    <cfRule type="cellIs" dxfId="8" priority="9" operator="equal">
      <formula>$B$104</formula>
    </cfRule>
    <cfRule type="cellIs" dxfId="7" priority="10" operator="equal">
      <formula>$B$102</formula>
    </cfRule>
    <cfRule type="cellIs" dxfId="6" priority="11" operator="equal">
      <formula>$B$100</formula>
    </cfRule>
    <cfRule type="cellIs" dxfId="5" priority="12" operator="equal">
      <formula>$B$98</formula>
    </cfRule>
  </conditionalFormatting>
  <conditionalFormatting sqref="CP83:FR83">
    <cfRule type="cellIs" dxfId="4" priority="2" operator="equal">
      <formula>$B$106</formula>
    </cfRule>
    <cfRule type="cellIs" dxfId="3" priority="3" operator="equal">
      <formula>$B$104</formula>
    </cfRule>
    <cfRule type="cellIs" dxfId="2" priority="4" operator="equal">
      <formula>$B$102</formula>
    </cfRule>
    <cfRule type="cellIs" dxfId="1" priority="5" operator="equal">
      <formula>$B$100</formula>
    </cfRule>
    <cfRule type="cellIs" dxfId="0" priority="6" operator="equal">
      <formula>$B$98</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UpdateScoreDetailsFunction">
                <anchor moveWithCells="1" sizeWithCells="1">
                  <from>
                    <xdr:col>0</xdr:col>
                    <xdr:colOff>160020</xdr:colOff>
                    <xdr:row>4</xdr:row>
                    <xdr:rowOff>678180</xdr:rowOff>
                  </from>
                  <to>
                    <xdr:col>1</xdr:col>
                    <xdr:colOff>1356360</xdr:colOff>
                    <xdr:row>4</xdr:row>
                    <xdr:rowOff>929640</xdr:rowOff>
                  </to>
                </anchor>
              </controlPr>
            </control>
          </mc:Choice>
        </mc:AlternateContent>
        <mc:AlternateContent xmlns:mc="http://schemas.openxmlformats.org/markup-compatibility/2006">
          <mc:Choice Requires="x14">
            <control shapeId="23554" r:id="rId5" name="Button 2">
              <controlPr defaultSize="0" print="0" autoFill="0" autoPict="0" macro="[0]!TransferNameFromNameList">
                <anchor moveWithCells="1" sizeWithCells="1">
                  <from>
                    <xdr:col>0</xdr:col>
                    <xdr:colOff>167640</xdr:colOff>
                    <xdr:row>4</xdr:row>
                    <xdr:rowOff>106680</xdr:rowOff>
                  </from>
                  <to>
                    <xdr:col>1</xdr:col>
                    <xdr:colOff>1371600</xdr:colOff>
                    <xdr:row>4</xdr:row>
                    <xdr:rowOff>358140</xdr:rowOff>
                  </to>
                </anchor>
              </controlPr>
            </control>
          </mc:Choice>
        </mc:AlternateContent>
        <mc:AlternateContent xmlns:mc="http://schemas.openxmlformats.org/markup-compatibility/2006">
          <mc:Choice Requires="x14">
            <control shapeId="23555" r:id="rId6" name="Button 3">
              <controlPr defaultSize="0" print="0" autoFill="0" autoPict="0" macro="[0]!ScoreDetailsFunction">
                <anchor moveWithCells="1" sizeWithCells="1">
                  <from>
                    <xdr:col>0</xdr:col>
                    <xdr:colOff>167640</xdr:colOff>
                    <xdr:row>4</xdr:row>
                    <xdr:rowOff>388620</xdr:rowOff>
                  </from>
                  <to>
                    <xdr:col>1</xdr:col>
                    <xdr:colOff>1363980</xdr:colOff>
                    <xdr:row>4</xdr:row>
                    <xdr:rowOff>640080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N32"/>
  <sheetViews>
    <sheetView showGridLines="0" workbookViewId="0">
      <pane xSplit="2" ySplit="7" topLeftCell="C8" activePane="bottomRight" state="frozen"/>
      <selection pane="topRight" activeCell="C1" sqref="C1"/>
      <selection pane="bottomLeft" activeCell="A8" sqref="A8"/>
      <selection pane="bottomRight" activeCell="C12" sqref="C12"/>
    </sheetView>
  </sheetViews>
  <sheetFormatPr defaultColWidth="50.77734375" defaultRowHeight="13.2" x14ac:dyDescent="0.3"/>
  <cols>
    <col min="1" max="1" width="4.77734375" style="204" customWidth="1"/>
    <col min="2" max="2" width="30.77734375" style="204" customWidth="1"/>
    <col min="3" max="16384" width="50.77734375" style="204"/>
  </cols>
  <sheetData>
    <row r="1" spans="1:222" s="196" customFormat="1" ht="8.25" customHeight="1" thickBot="1" x14ac:dyDescent="0.35"/>
    <row r="2" spans="1:222" s="196" customFormat="1" ht="20.100000000000001" customHeight="1" thickBot="1" x14ac:dyDescent="0.35">
      <c r="B2" s="197" t="s">
        <v>5</v>
      </c>
      <c r="C2" s="198" t="s">
        <v>217</v>
      </c>
      <c r="D2" s="198" t="s">
        <v>218</v>
      </c>
      <c r="E2" s="198" t="s">
        <v>219</v>
      </c>
      <c r="F2" s="198" t="s">
        <v>220</v>
      </c>
      <c r="G2" s="198" t="s">
        <v>221</v>
      </c>
      <c r="H2" s="198" t="s">
        <v>222</v>
      </c>
      <c r="I2" s="198" t="s">
        <v>223</v>
      </c>
      <c r="J2" s="198" t="s">
        <v>224</v>
      </c>
      <c r="K2" s="198" t="s">
        <v>225</v>
      </c>
      <c r="L2" s="198" t="s">
        <v>226</v>
      </c>
      <c r="M2" s="198" t="s">
        <v>227</v>
      </c>
      <c r="N2" s="198" t="s">
        <v>228</v>
      </c>
      <c r="O2" s="198" t="s">
        <v>229</v>
      </c>
      <c r="P2" s="198" t="s">
        <v>230</v>
      </c>
      <c r="Q2" s="198" t="s">
        <v>231</v>
      </c>
      <c r="R2" s="198" t="s">
        <v>159</v>
      </c>
      <c r="S2" s="198" t="s">
        <v>232</v>
      </c>
      <c r="T2" s="198" t="s">
        <v>233</v>
      </c>
      <c r="U2" s="198" t="s">
        <v>234</v>
      </c>
      <c r="V2" s="198" t="s">
        <v>235</v>
      </c>
      <c r="W2" s="198" t="s">
        <v>236</v>
      </c>
      <c r="X2" s="198" t="s">
        <v>237</v>
      </c>
      <c r="Y2" s="198" t="s">
        <v>238</v>
      </c>
      <c r="Z2" s="198" t="s">
        <v>239</v>
      </c>
      <c r="AA2" s="198" t="s">
        <v>240</v>
      </c>
      <c r="AB2" s="198" t="s">
        <v>241</v>
      </c>
      <c r="AC2" s="198" t="s">
        <v>165</v>
      </c>
      <c r="AD2" s="198" t="s">
        <v>161</v>
      </c>
      <c r="AE2" s="198" t="s">
        <v>242</v>
      </c>
      <c r="AF2" s="198" t="s">
        <v>243</v>
      </c>
      <c r="AG2" s="198" t="s">
        <v>244</v>
      </c>
      <c r="AH2" s="198" t="s">
        <v>245</v>
      </c>
      <c r="AI2" s="198" t="s">
        <v>163</v>
      </c>
      <c r="AJ2" s="198" t="s">
        <v>246</v>
      </c>
      <c r="AK2" s="198" t="s">
        <v>247</v>
      </c>
      <c r="AL2" s="198" t="s">
        <v>248</v>
      </c>
      <c r="AM2" s="198" t="s">
        <v>164</v>
      </c>
      <c r="AN2" s="198" t="s">
        <v>166</v>
      </c>
      <c r="AO2" s="198" t="s">
        <v>249</v>
      </c>
      <c r="AP2" s="198" t="s">
        <v>162</v>
      </c>
      <c r="AQ2" s="198" t="s">
        <v>167</v>
      </c>
      <c r="AR2" s="198" t="s">
        <v>250</v>
      </c>
      <c r="AS2" s="198" t="s">
        <v>160</v>
      </c>
      <c r="AT2" s="198" t="s">
        <v>251</v>
      </c>
      <c r="AU2" s="198" t="s">
        <v>252</v>
      </c>
      <c r="AV2" s="198" t="s">
        <v>253</v>
      </c>
      <c r="AW2" s="198" t="s">
        <v>254</v>
      </c>
      <c r="AX2" s="198" t="s">
        <v>255</v>
      </c>
      <c r="AY2" s="198" t="s">
        <v>256</v>
      </c>
      <c r="AZ2" s="198" t="s">
        <v>257</v>
      </c>
      <c r="BA2" s="198" t="s">
        <v>258</v>
      </c>
      <c r="BB2" s="198" t="s">
        <v>259</v>
      </c>
      <c r="BC2" s="198" t="s">
        <v>260</v>
      </c>
      <c r="BD2" s="198" t="s">
        <v>261</v>
      </c>
      <c r="BE2" s="198" t="s">
        <v>262</v>
      </c>
      <c r="BF2" s="198" t="s">
        <v>263</v>
      </c>
      <c r="BG2" s="198" t="s">
        <v>264</v>
      </c>
      <c r="BH2" s="198" t="s">
        <v>265</v>
      </c>
      <c r="BI2" s="198" t="s">
        <v>266</v>
      </c>
      <c r="BJ2" s="198" t="s">
        <v>267</v>
      </c>
      <c r="BK2" s="198" t="s">
        <v>268</v>
      </c>
      <c r="BL2" s="198" t="s">
        <v>269</v>
      </c>
      <c r="BM2" s="198" t="s">
        <v>270</v>
      </c>
      <c r="BN2" s="198" t="s">
        <v>271</v>
      </c>
      <c r="BO2" s="198" t="s">
        <v>272</v>
      </c>
      <c r="BP2" s="198" t="s">
        <v>273</v>
      </c>
      <c r="BQ2" s="198" t="s">
        <v>274</v>
      </c>
      <c r="BR2" s="198" t="s">
        <v>275</v>
      </c>
      <c r="BS2" s="198" t="s">
        <v>276</v>
      </c>
      <c r="BT2" s="198" t="s">
        <v>277</v>
      </c>
      <c r="BU2" s="198" t="s">
        <v>278</v>
      </c>
      <c r="BV2" s="198" t="s">
        <v>279</v>
      </c>
      <c r="BW2" s="198" t="s">
        <v>280</v>
      </c>
      <c r="BX2" s="198" t="s">
        <v>281</v>
      </c>
      <c r="BY2" s="198" t="s">
        <v>282</v>
      </c>
      <c r="BZ2" s="198" t="s">
        <v>283</v>
      </c>
      <c r="CA2" s="198" t="s">
        <v>284</v>
      </c>
      <c r="CB2" s="198" t="s">
        <v>285</v>
      </c>
      <c r="CC2" s="198" t="s">
        <v>286</v>
      </c>
      <c r="CD2" s="198" t="s">
        <v>287</v>
      </c>
      <c r="CE2" s="198" t="s">
        <v>288</v>
      </c>
      <c r="CF2" s="198" t="s">
        <v>289</v>
      </c>
      <c r="CG2" s="198" t="s">
        <v>290</v>
      </c>
      <c r="CH2" s="198" t="s">
        <v>291</v>
      </c>
      <c r="CI2" s="198" t="s">
        <v>292</v>
      </c>
      <c r="CJ2" s="198" t="s">
        <v>293</v>
      </c>
      <c r="CK2" s="198" t="s">
        <v>294</v>
      </c>
      <c r="CL2" s="198" t="s">
        <v>295</v>
      </c>
      <c r="CM2" s="198" t="s">
        <v>296</v>
      </c>
      <c r="CN2" s="198" t="s">
        <v>297</v>
      </c>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c r="DQ2" s="198"/>
      <c r="DR2" s="198"/>
      <c r="DS2" s="198"/>
      <c r="DT2" s="198"/>
      <c r="DU2" s="198"/>
      <c r="DV2" s="198"/>
      <c r="DW2" s="198"/>
      <c r="DX2" s="198"/>
      <c r="DY2" s="198"/>
      <c r="DZ2" s="198"/>
      <c r="EA2" s="198"/>
      <c r="EB2" s="198"/>
      <c r="EC2" s="198"/>
      <c r="ED2" s="198"/>
      <c r="EE2" s="198"/>
      <c r="EF2" s="198"/>
      <c r="EG2" s="198"/>
      <c r="EH2" s="198"/>
      <c r="EI2" s="198"/>
      <c r="EJ2" s="198"/>
      <c r="EK2" s="198"/>
      <c r="EL2" s="198"/>
      <c r="EM2" s="198"/>
      <c r="EN2" s="198"/>
      <c r="EO2" s="198"/>
      <c r="EP2" s="198"/>
      <c r="EQ2" s="198"/>
      <c r="ER2" s="198"/>
      <c r="ES2" s="198"/>
      <c r="ET2" s="198"/>
      <c r="EU2" s="198"/>
      <c r="EV2" s="198"/>
      <c r="EW2" s="198"/>
      <c r="EX2" s="198"/>
      <c r="EY2" s="198"/>
      <c r="EZ2" s="198"/>
      <c r="FA2" s="198"/>
      <c r="FB2" s="198"/>
      <c r="FC2" s="198"/>
      <c r="FD2" s="198"/>
      <c r="FE2" s="198"/>
      <c r="FF2" s="198"/>
      <c r="FG2" s="198"/>
      <c r="FH2" s="198"/>
      <c r="FI2" s="198"/>
      <c r="FJ2" s="198"/>
      <c r="FK2" s="198"/>
      <c r="FL2" s="198"/>
      <c r="FM2" s="198"/>
      <c r="FN2" s="198"/>
      <c r="FO2" s="198"/>
      <c r="FP2" s="198"/>
      <c r="FQ2" s="198"/>
      <c r="FR2" s="198"/>
      <c r="FS2" s="198"/>
      <c r="FT2" s="198"/>
      <c r="FU2" s="198"/>
      <c r="FV2" s="198"/>
      <c r="FW2" s="198"/>
      <c r="FX2" s="198"/>
      <c r="FY2" s="198"/>
      <c r="FZ2" s="198"/>
      <c r="GA2" s="198"/>
      <c r="GB2" s="198"/>
      <c r="GC2" s="198"/>
      <c r="GD2" s="198"/>
      <c r="GE2" s="198"/>
      <c r="GF2" s="198"/>
      <c r="GG2" s="198"/>
      <c r="GH2" s="198"/>
      <c r="GI2" s="198"/>
      <c r="GJ2" s="198"/>
      <c r="GK2" s="198"/>
      <c r="GL2" s="198"/>
      <c r="GM2" s="198"/>
      <c r="GN2" s="198"/>
      <c r="GO2" s="198"/>
      <c r="GP2" s="198"/>
      <c r="GQ2" s="198"/>
      <c r="GR2" s="198"/>
      <c r="GS2" s="198"/>
      <c r="GT2" s="198"/>
      <c r="GU2" s="198"/>
      <c r="GV2" s="198"/>
      <c r="GW2" s="198"/>
      <c r="GX2" s="198"/>
      <c r="GY2" s="198"/>
      <c r="GZ2" s="198"/>
      <c r="HA2" s="198"/>
      <c r="HB2" s="198"/>
      <c r="HC2" s="198"/>
      <c r="HD2" s="198"/>
      <c r="HE2" s="198"/>
      <c r="HF2" s="198"/>
      <c r="HG2" s="198"/>
      <c r="HH2" s="198"/>
      <c r="HI2" s="198"/>
      <c r="HJ2" s="198"/>
      <c r="HK2" s="198"/>
      <c r="HL2" s="198"/>
      <c r="HM2" s="198"/>
      <c r="HN2" s="198"/>
    </row>
    <row r="3" spans="1:222" s="196" customFormat="1" ht="20.100000000000001" customHeight="1" thickBot="1" x14ac:dyDescent="0.35">
      <c r="B3" s="197" t="s">
        <v>6</v>
      </c>
      <c r="C3" s="198" t="e">
        <f>IF(C2&lt;&gt;"",VLOOKUP(C$2,CHOOSE({1,2},'Name List'!$B$3:$B$1000,'Name List'!#REF!),2,FALSE),"")</f>
        <v>#N/A</v>
      </c>
      <c r="D3" s="198" t="e">
        <f>IF(D2&lt;&gt;"",VLOOKUP(D$2,CHOOSE({1,2},'Name List'!$B$3:$B$1000,'Name List'!#REF!),2,FALSE),"")</f>
        <v>#REF!</v>
      </c>
      <c r="E3" s="198" t="e">
        <f>IF(E2&lt;&gt;"",VLOOKUP(E$2,CHOOSE({1,2},'Name List'!$B$3:$B$1000,'Name List'!#REF!),2,FALSE),"")</f>
        <v>#REF!</v>
      </c>
      <c r="F3" s="198" t="e">
        <f>IF(F2&lt;&gt;"",VLOOKUP(F$2,CHOOSE({1,2},'Name List'!$B$3:$B$1000,'Name List'!#REF!),2,FALSE),"")</f>
        <v>#N/A</v>
      </c>
      <c r="G3" s="198" t="e">
        <f>IF(G2&lt;&gt;"",VLOOKUP(G$2,CHOOSE({1,2},'Name List'!$B$3:$B$1000,'Name List'!#REF!),2,FALSE),"")</f>
        <v>#REF!</v>
      </c>
      <c r="H3" s="198" t="e">
        <f>IF(H2&lt;&gt;"",VLOOKUP(H$2,CHOOSE({1,2},'Name List'!$B$3:$B$1000,'Name List'!#REF!),2,FALSE),"")</f>
        <v>#REF!</v>
      </c>
      <c r="I3" s="198" t="e">
        <f>IF(I2&lt;&gt;"",VLOOKUP(I$2,CHOOSE({1,2},'Name List'!$B$3:$B$1000,'Name List'!#REF!),2,FALSE),"")</f>
        <v>#REF!</v>
      </c>
      <c r="J3" s="198" t="e">
        <f>IF(J2&lt;&gt;"",VLOOKUP(J$2,CHOOSE({1,2},'Name List'!$B$3:$B$1000,'Name List'!#REF!),2,FALSE),"")</f>
        <v>#REF!</v>
      </c>
      <c r="K3" s="198" t="e">
        <f>IF(K2&lt;&gt;"",VLOOKUP(K$2,CHOOSE({1,2},'Name List'!$B$3:$B$1000,'Name List'!#REF!),2,FALSE),"")</f>
        <v>#REF!</v>
      </c>
      <c r="L3" s="198" t="e">
        <f>IF(L2&lt;&gt;"",VLOOKUP(L$2,CHOOSE({1,2},'Name List'!$B$3:$B$1000,'Name List'!#REF!),2,FALSE),"")</f>
        <v>#N/A</v>
      </c>
      <c r="M3" s="198" t="e">
        <f>IF(M2&lt;&gt;"",VLOOKUP(M$2,CHOOSE({1,2},'Name List'!$B$3:$B$1000,'Name List'!#REF!),2,FALSE),"")</f>
        <v>#N/A</v>
      </c>
      <c r="N3" s="198" t="e">
        <f>IF(N2&lt;&gt;"",VLOOKUP(N$2,CHOOSE({1,2},'Name List'!$B$3:$B$1000,'Name List'!#REF!),2,FALSE),"")</f>
        <v>#REF!</v>
      </c>
      <c r="O3" s="198" t="e">
        <f>IF(O2&lt;&gt;"",VLOOKUP(O$2,CHOOSE({1,2},'Name List'!$B$3:$B$1000,'Name List'!#REF!),2,FALSE),"")</f>
        <v>#N/A</v>
      </c>
      <c r="P3" s="198" t="e">
        <f>IF(P2&lt;&gt;"",VLOOKUP(P$2,CHOOSE({1,2},'Name List'!$B$3:$B$1000,'Name List'!#REF!),2,FALSE),"")</f>
        <v>#N/A</v>
      </c>
      <c r="Q3" s="198" t="e">
        <f>IF(Q2&lt;&gt;"",VLOOKUP(Q$2,CHOOSE({1,2},'Name List'!$B$3:$B$1000,'Name List'!#REF!),2,FALSE),"")</f>
        <v>#REF!</v>
      </c>
      <c r="R3" s="198" t="e">
        <f>IF(R2&lt;&gt;"",VLOOKUP(R$2,CHOOSE({1,2},'Name List'!$B$3:$B$1000,'Name List'!#REF!),2,FALSE),"")</f>
        <v>#N/A</v>
      </c>
      <c r="S3" s="198" t="e">
        <f>IF(S2&lt;&gt;"",VLOOKUP(S$2,CHOOSE({1,2},'Name List'!$B$3:$B$1000,'Name List'!#REF!),2,FALSE),"")</f>
        <v>#REF!</v>
      </c>
      <c r="T3" s="198" t="e">
        <f>IF(T2&lt;&gt;"",VLOOKUP(T$2,CHOOSE({1,2},'Name List'!$B$3:$B$1000,'Name List'!#REF!),2,FALSE),"")</f>
        <v>#N/A</v>
      </c>
      <c r="U3" s="198" t="e">
        <f>IF(U2&lt;&gt;"",VLOOKUP(U$2,CHOOSE({1,2},'Name List'!$B$3:$B$1000,'Name List'!#REF!),2,FALSE),"")</f>
        <v>#REF!</v>
      </c>
      <c r="V3" s="198" t="e">
        <f>IF(V2&lt;&gt;"",VLOOKUP(V$2,CHOOSE({1,2},'Name List'!$B$3:$B$1000,'Name List'!#REF!),2,FALSE),"")</f>
        <v>#REF!</v>
      </c>
      <c r="W3" s="198" t="e">
        <f>IF(W2&lt;&gt;"",VLOOKUP(W$2,CHOOSE({1,2},'Name List'!$B$3:$B$1000,'Name List'!#REF!),2,FALSE),"")</f>
        <v>#REF!</v>
      </c>
      <c r="X3" s="198" t="e">
        <f>IF(X2&lt;&gt;"",VLOOKUP(X$2,CHOOSE({1,2},'Name List'!$B$3:$B$1000,'Name List'!#REF!),2,FALSE),"")</f>
        <v>#REF!</v>
      </c>
      <c r="Y3" s="198" t="e">
        <f>IF(Y2&lt;&gt;"",VLOOKUP(Y$2,CHOOSE({1,2},'Name List'!$B$3:$B$1000,'Name List'!#REF!),2,FALSE),"")</f>
        <v>#N/A</v>
      </c>
      <c r="Z3" s="198" t="e">
        <f>IF(Z2&lt;&gt;"",VLOOKUP(Z$2,CHOOSE({1,2},'Name List'!$B$3:$B$1000,'Name List'!#REF!),2,FALSE),"")</f>
        <v>#N/A</v>
      </c>
      <c r="AA3" s="198" t="e">
        <f>IF(AA2&lt;&gt;"",VLOOKUP(AA$2,CHOOSE({1,2},'Name List'!$B$3:$B$1000,'Name List'!#REF!),2,FALSE),"")</f>
        <v>#N/A</v>
      </c>
      <c r="AB3" s="198" t="e">
        <f>IF(AB2&lt;&gt;"",VLOOKUP(AB$2,CHOOSE({1,2},'Name List'!$B$3:$B$1000,'Name List'!#REF!),2,FALSE),"")</f>
        <v>#N/A</v>
      </c>
      <c r="AC3" s="198" t="e">
        <f>IF(AC2&lt;&gt;"",VLOOKUP(AC$2,CHOOSE({1,2},'Name List'!$B$3:$B$1000,'Name List'!#REF!),2,FALSE),"")</f>
        <v>#REF!</v>
      </c>
      <c r="AD3" s="198" t="e">
        <f>IF(AD2&lt;&gt;"",VLOOKUP(AD$2,CHOOSE({1,2},'Name List'!$B$3:$B$1000,'Name List'!#REF!),2,FALSE),"")</f>
        <v>#REF!</v>
      </c>
      <c r="AE3" s="198" t="e">
        <f>IF(AE2&lt;&gt;"",VLOOKUP(AE$2,CHOOSE({1,2},'Name List'!$B$3:$B$1000,'Name List'!#REF!),2,FALSE),"")</f>
        <v>#N/A</v>
      </c>
      <c r="AF3" s="198" t="e">
        <f>IF(AF2&lt;&gt;"",VLOOKUP(AF$2,CHOOSE({1,2},'Name List'!$B$3:$B$1000,'Name List'!#REF!),2,FALSE),"")</f>
        <v>#N/A</v>
      </c>
      <c r="AG3" s="198" t="e">
        <f>IF(AG2&lt;&gt;"",VLOOKUP(AG$2,CHOOSE({1,2},'Name List'!$B$3:$B$1000,'Name List'!#REF!),2,FALSE),"")</f>
        <v>#N/A</v>
      </c>
      <c r="AH3" s="198" t="e">
        <f>IF(AH2&lt;&gt;"",VLOOKUP(AH$2,CHOOSE({1,2},'Name List'!$B$3:$B$1000,'Name List'!#REF!),2,FALSE),"")</f>
        <v>#N/A</v>
      </c>
      <c r="AI3" s="198" t="e">
        <f>IF(AI2&lt;&gt;"",VLOOKUP(AI$2,CHOOSE({1,2},'Name List'!$B$3:$B$1000,'Name List'!#REF!),2,FALSE),"")</f>
        <v>#REF!</v>
      </c>
      <c r="AJ3" s="198" t="e">
        <f>IF(AJ2&lt;&gt;"",VLOOKUP(AJ$2,CHOOSE({1,2},'Name List'!$B$3:$B$1000,'Name List'!#REF!),2,FALSE),"")</f>
        <v>#N/A</v>
      </c>
      <c r="AK3" s="198" t="e">
        <f>IF(AK2&lt;&gt;"",VLOOKUP(AK$2,CHOOSE({1,2},'Name List'!$B$3:$B$1000,'Name List'!#REF!),2,FALSE),"")</f>
        <v>#REF!</v>
      </c>
      <c r="AL3" s="198" t="e">
        <f>IF(AL2&lt;&gt;"",VLOOKUP(AL$2,CHOOSE({1,2},'Name List'!$B$3:$B$1000,'Name List'!#REF!),2,FALSE),"")</f>
        <v>#REF!</v>
      </c>
      <c r="AM3" s="198" t="e">
        <f>IF(AM2&lt;&gt;"",VLOOKUP(AM$2,CHOOSE({1,2},'Name List'!$B$3:$B$1000,'Name List'!#REF!),2,FALSE),"")</f>
        <v>#REF!</v>
      </c>
      <c r="AN3" s="198" t="e">
        <f>IF(AN2&lt;&gt;"",VLOOKUP(AN$2,CHOOSE({1,2},'Name List'!$B$3:$B$1000,'Name List'!#REF!),2,FALSE),"")</f>
        <v>#REF!</v>
      </c>
      <c r="AO3" s="198" t="e">
        <f>IF(AO2&lt;&gt;"",VLOOKUP(AO$2,CHOOSE({1,2},'Name List'!$B$3:$B$1000,'Name List'!#REF!),2,FALSE),"")</f>
        <v>#REF!</v>
      </c>
      <c r="AP3" s="198" t="e">
        <f>IF(AP2&lt;&gt;"",VLOOKUP(AP$2,CHOOSE({1,2},'Name List'!$B$3:$B$1000,'Name List'!#REF!),2,FALSE),"")</f>
        <v>#REF!</v>
      </c>
      <c r="AQ3" s="198" t="e">
        <f>IF(AQ2&lt;&gt;"",VLOOKUP(AQ$2,CHOOSE({1,2},'Name List'!$B$3:$B$1000,'Name List'!#REF!),2,FALSE),"")</f>
        <v>#REF!</v>
      </c>
      <c r="AR3" s="198" t="e">
        <f>IF(AR2&lt;&gt;"",VLOOKUP(AR$2,CHOOSE({1,2},'Name List'!$B$3:$B$1000,'Name List'!#REF!),2,FALSE),"")</f>
        <v>#REF!</v>
      </c>
      <c r="AS3" s="198" t="e">
        <f>IF(AS2&lt;&gt;"",VLOOKUP(AS$2,CHOOSE({1,2},'Name List'!$B$3:$B$1000,'Name List'!#REF!),2,FALSE),"")</f>
        <v>#REF!</v>
      </c>
      <c r="AT3" s="198" t="e">
        <f>IF(AT2&lt;&gt;"",VLOOKUP(AT$2,CHOOSE({1,2},'Name List'!$B$3:$B$1000,'Name List'!#REF!),2,FALSE),"")</f>
        <v>#REF!</v>
      </c>
      <c r="AU3" s="198" t="e">
        <f>IF(AU2&lt;&gt;"",VLOOKUP(AU$2,CHOOSE({1,2},'Name List'!$B$3:$B$1000,'Name List'!#REF!),2,FALSE),"")</f>
        <v>#REF!</v>
      </c>
      <c r="AV3" s="198" t="e">
        <f>IF(AV2&lt;&gt;"",VLOOKUP(AV$2,CHOOSE({1,2},'Name List'!$B$3:$B$1000,'Name List'!#REF!),2,FALSE),"")</f>
        <v>#N/A</v>
      </c>
      <c r="AW3" s="198" t="e">
        <f>IF(AW2&lt;&gt;"",VLOOKUP(AW$2,CHOOSE({1,2},'Name List'!$B$3:$B$1000,'Name List'!#REF!),2,FALSE),"")</f>
        <v>#REF!</v>
      </c>
      <c r="AX3" s="198" t="e">
        <f>IF(AX2&lt;&gt;"",VLOOKUP(AX$2,CHOOSE({1,2},'Name List'!$B$3:$B$1000,'Name List'!#REF!),2,FALSE),"")</f>
        <v>#N/A</v>
      </c>
      <c r="AY3" s="198" t="e">
        <f>IF(AY2&lt;&gt;"",VLOOKUP(AY$2,CHOOSE({1,2},'Name List'!$B$3:$B$1000,'Name List'!#REF!),2,FALSE),"")</f>
        <v>#N/A</v>
      </c>
      <c r="AZ3" s="198" t="e">
        <f>IF(AZ2&lt;&gt;"",VLOOKUP(AZ$2,CHOOSE({1,2},'Name List'!$B$3:$B$1000,'Name List'!#REF!),2,FALSE),"")</f>
        <v>#REF!</v>
      </c>
      <c r="BA3" s="198" t="e">
        <f>IF(BA2&lt;&gt;"",VLOOKUP(BA$2,CHOOSE({1,2},'Name List'!$B$3:$B$1000,'Name List'!#REF!),2,FALSE),"")</f>
        <v>#N/A</v>
      </c>
      <c r="BB3" s="198" t="e">
        <f>IF(BB2&lt;&gt;"",VLOOKUP(BB$2,CHOOSE({1,2},'Name List'!$B$3:$B$1000,'Name List'!#REF!),2,FALSE),"")</f>
        <v>#N/A</v>
      </c>
      <c r="BC3" s="198" t="e">
        <f>IF(BC2&lt;&gt;"",VLOOKUP(BC$2,CHOOSE({1,2},'Name List'!$B$3:$B$1000,'Name List'!#REF!),2,FALSE),"")</f>
        <v>#REF!</v>
      </c>
      <c r="BD3" s="198" t="e">
        <f>IF(BD2&lt;&gt;"",VLOOKUP(BD$2,CHOOSE({1,2},'Name List'!$B$3:$B$1000,'Name List'!#REF!),2,FALSE),"")</f>
        <v>#REF!</v>
      </c>
      <c r="BE3" s="198" t="e">
        <f>IF(BE2&lt;&gt;"",VLOOKUP(BE$2,CHOOSE({1,2},'Name List'!$B$3:$B$1000,'Name List'!#REF!),2,FALSE),"")</f>
        <v>#REF!</v>
      </c>
      <c r="BF3" s="198" t="e">
        <f>IF(BF2&lt;&gt;"",VLOOKUP(BF$2,CHOOSE({1,2},'Name List'!$B$3:$B$1000,'Name List'!#REF!),2,FALSE),"")</f>
        <v>#REF!</v>
      </c>
      <c r="BG3" s="198" t="e">
        <f>IF(BG2&lt;&gt;"",VLOOKUP(BG$2,CHOOSE({1,2},'Name List'!$B$3:$B$1000,'Name List'!#REF!),2,FALSE),"")</f>
        <v>#N/A</v>
      </c>
      <c r="BH3" s="198" t="e">
        <f>IF(BH2&lt;&gt;"",VLOOKUP(BH$2,CHOOSE({1,2},'Name List'!$B$3:$B$1000,'Name List'!#REF!),2,FALSE),"")</f>
        <v>#REF!</v>
      </c>
      <c r="BI3" s="198" t="e">
        <f>IF(BI2&lt;&gt;"",VLOOKUP(BI$2,CHOOSE({1,2},'Name List'!$B$3:$B$1000,'Name List'!#REF!),2,FALSE),"")</f>
        <v>#REF!</v>
      </c>
      <c r="BJ3" s="198" t="e">
        <f>IF(BJ2&lt;&gt;"",VLOOKUP(BJ$2,CHOOSE({1,2},'Name List'!$B$3:$B$1000,'Name List'!#REF!),2,FALSE),"")</f>
        <v>#N/A</v>
      </c>
      <c r="BK3" s="198" t="e">
        <f>IF(BK2&lt;&gt;"",VLOOKUP(BK$2,CHOOSE({1,2},'Name List'!$B$3:$B$1000,'Name List'!#REF!),2,FALSE),"")</f>
        <v>#REF!</v>
      </c>
      <c r="BL3" s="198" t="e">
        <f>IF(BL2&lt;&gt;"",VLOOKUP(BL$2,CHOOSE({1,2},'Name List'!$B$3:$B$1000,'Name List'!#REF!),2,FALSE),"")</f>
        <v>#REF!</v>
      </c>
      <c r="BM3" s="198" t="e">
        <f>IF(BM2&lt;&gt;"",VLOOKUP(BM$2,CHOOSE({1,2},'Name List'!$B$3:$B$1000,'Name List'!#REF!),2,FALSE),"")</f>
        <v>#REF!</v>
      </c>
      <c r="BN3" s="198" t="e">
        <f>IF(BN2&lt;&gt;"",VLOOKUP(BN$2,CHOOSE({1,2},'Name List'!$B$3:$B$1000,'Name List'!#REF!),2,FALSE),"")</f>
        <v>#N/A</v>
      </c>
      <c r="BO3" s="198" t="e">
        <f>IF(BO2&lt;&gt;"",VLOOKUP(BO$2,CHOOSE({1,2},'Name List'!$B$3:$B$1000,'Name List'!#REF!),2,FALSE),"")</f>
        <v>#REF!</v>
      </c>
      <c r="BP3" s="198" t="e">
        <f>IF(BP2&lt;&gt;"",VLOOKUP(BP$2,CHOOSE({1,2},'Name List'!$B$3:$B$1000,'Name List'!#REF!),2,FALSE),"")</f>
        <v>#N/A</v>
      </c>
      <c r="BQ3" s="198" t="e">
        <f>IF(BQ2&lt;&gt;"",VLOOKUP(BQ$2,CHOOSE({1,2},'Name List'!$B$3:$B$1000,'Name List'!#REF!),2,FALSE),"")</f>
        <v>#REF!</v>
      </c>
      <c r="BR3" s="198" t="e">
        <f>IF(BR2&lt;&gt;"",VLOOKUP(BR$2,CHOOSE({1,2},'Name List'!$B$3:$B$1000,'Name List'!#REF!),2,FALSE),"")</f>
        <v>#REF!</v>
      </c>
      <c r="BS3" s="198" t="e">
        <f>IF(BS2&lt;&gt;"",VLOOKUP(BS$2,CHOOSE({1,2},'Name List'!$B$3:$B$1000,'Name List'!#REF!),2,FALSE),"")</f>
        <v>#REF!</v>
      </c>
      <c r="BT3" s="198" t="e">
        <f>IF(BT2&lt;&gt;"",VLOOKUP(BT$2,CHOOSE({1,2},'Name List'!$B$3:$B$1000,'Name List'!#REF!),2,FALSE),"")</f>
        <v>#REF!</v>
      </c>
      <c r="BU3" s="198" t="e">
        <f>IF(BU2&lt;&gt;"",VLOOKUP(BU$2,CHOOSE({1,2},'Name List'!$B$3:$B$1000,'Name List'!#REF!),2,FALSE),"")</f>
        <v>#REF!</v>
      </c>
      <c r="BV3" s="198" t="e">
        <f>IF(BV2&lt;&gt;"",VLOOKUP(BV$2,CHOOSE({1,2},'Name List'!$B$3:$B$1000,'Name List'!#REF!),2,FALSE),"")</f>
        <v>#REF!</v>
      </c>
      <c r="BW3" s="198" t="e">
        <f>IF(BW2&lt;&gt;"",VLOOKUP(BW$2,CHOOSE({1,2},'Name List'!$B$3:$B$1000,'Name List'!#REF!),2,FALSE),"")</f>
        <v>#REF!</v>
      </c>
      <c r="BX3" s="198" t="e">
        <f>IF(BX2&lt;&gt;"",VLOOKUP(BX$2,CHOOSE({1,2},'Name List'!$B$3:$B$1000,'Name List'!#REF!),2,FALSE),"")</f>
        <v>#REF!</v>
      </c>
      <c r="BY3" s="198" t="e">
        <f>IF(BY2&lt;&gt;"",VLOOKUP(BY$2,CHOOSE({1,2},'Name List'!$B$3:$B$1000,'Name List'!#REF!),2,FALSE),"")</f>
        <v>#N/A</v>
      </c>
      <c r="BZ3" s="198" t="e">
        <f>IF(BZ2&lt;&gt;"",VLOOKUP(BZ$2,CHOOSE({1,2},'Name List'!$B$3:$B$1000,'Name List'!#REF!),2,FALSE),"")</f>
        <v>#N/A</v>
      </c>
      <c r="CA3" s="198" t="e">
        <f>IF(CA2&lt;&gt;"",VLOOKUP(CA$2,CHOOSE({1,2},'Name List'!$B$3:$B$1000,'Name List'!#REF!),2,FALSE),"")</f>
        <v>#N/A</v>
      </c>
      <c r="CB3" s="198" t="e">
        <f>IF(CB2&lt;&gt;"",VLOOKUP(CB$2,CHOOSE({1,2},'Name List'!$B$3:$B$1000,'Name List'!#REF!),2,FALSE),"")</f>
        <v>#N/A</v>
      </c>
      <c r="CC3" s="198" t="e">
        <f>IF(CC2&lt;&gt;"",VLOOKUP(CC$2,CHOOSE({1,2},'Name List'!$B$3:$B$1000,'Name List'!#REF!),2,FALSE),"")</f>
        <v>#N/A</v>
      </c>
      <c r="CD3" s="198" t="e">
        <f>IF(CD2&lt;&gt;"",VLOOKUP(CD$2,CHOOSE({1,2},'Name List'!$B$3:$B$1000,'Name List'!#REF!),2,FALSE),"")</f>
        <v>#N/A</v>
      </c>
      <c r="CE3" s="198" t="e">
        <f>IF(CE2&lt;&gt;"",VLOOKUP(CE$2,CHOOSE({1,2},'Name List'!$B$3:$B$1000,'Name List'!#REF!),2,FALSE),"")</f>
        <v>#N/A</v>
      </c>
      <c r="CF3" s="198" t="e">
        <f>IF(CF2&lt;&gt;"",VLOOKUP(CF$2,CHOOSE({1,2},'Name List'!$B$3:$B$1000,'Name List'!#REF!),2,FALSE),"")</f>
        <v>#N/A</v>
      </c>
      <c r="CG3" s="198" t="e">
        <f>IF(CG2&lt;&gt;"",VLOOKUP(CG$2,CHOOSE({1,2},'Name List'!$B$3:$B$1000,'Name List'!#REF!),2,FALSE),"")</f>
        <v>#N/A</v>
      </c>
      <c r="CH3" s="198" t="e">
        <f>IF(CH2&lt;&gt;"",VLOOKUP(CH$2,CHOOSE({1,2},'Name List'!$B$3:$B$1000,'Name List'!#REF!),2,FALSE),"")</f>
        <v>#N/A</v>
      </c>
      <c r="CI3" s="198" t="e">
        <f>IF(CI2&lt;&gt;"",VLOOKUP(CI$2,CHOOSE({1,2},'Name List'!$B$3:$B$1000,'Name List'!#REF!),2,FALSE),"")</f>
        <v>#N/A</v>
      </c>
      <c r="CJ3" s="198" t="e">
        <f>IF(CJ2&lt;&gt;"",VLOOKUP(CJ$2,CHOOSE({1,2},'Name List'!$B$3:$B$1000,'Name List'!#REF!),2,FALSE),"")</f>
        <v>#N/A</v>
      </c>
      <c r="CK3" s="198" t="e">
        <f>IF(CK2&lt;&gt;"",VLOOKUP(CK$2,CHOOSE({1,2},'Name List'!$B$3:$B$1000,'Name List'!#REF!),2,FALSE),"")</f>
        <v>#N/A</v>
      </c>
      <c r="CL3" s="198" t="e">
        <f>IF(CL2&lt;&gt;"",VLOOKUP(CL$2,CHOOSE({1,2},'Name List'!$B$3:$B$1000,'Name List'!#REF!),2,FALSE),"")</f>
        <v>#N/A</v>
      </c>
      <c r="CM3" s="198" t="e">
        <f>IF(CM2&lt;&gt;"",VLOOKUP(CM$2,CHOOSE({1,2},'Name List'!$B$3:$B$1000,'Name List'!#REF!),2,FALSE),"")</f>
        <v>#REF!</v>
      </c>
      <c r="CN3" s="198" t="e">
        <f>IF(CN2&lt;&gt;"",VLOOKUP(CN$2,CHOOSE({1,2},'Name List'!$B$3:$B$1000,'Name List'!#REF!),2,FALSE),"")</f>
        <v>#N/A</v>
      </c>
      <c r="CO3" s="198" t="str">
        <f>IF(CO2&lt;&gt;"",VLOOKUP(CO$2,CHOOSE({1,2},'Name List'!$B$3:$B$1000,'Name List'!#REF!),2,FALSE),"")</f>
        <v/>
      </c>
      <c r="CP3" s="198" t="str">
        <f>IF(CP2&lt;&gt;"",VLOOKUP(CP$2,CHOOSE({1,2},'Name List'!$B$3:$B$1000,'Name List'!#REF!),2,FALSE),"")</f>
        <v/>
      </c>
      <c r="CQ3" s="198" t="str">
        <f>IF(CQ2&lt;&gt;"",VLOOKUP(CQ$2,CHOOSE({1,2},'Name List'!$B$3:$B$1000,'Name List'!#REF!),2,FALSE),"")</f>
        <v/>
      </c>
      <c r="CR3" s="198" t="str">
        <f>IF(CR2&lt;&gt;"",VLOOKUP(CR$2,CHOOSE({1,2},'Name List'!$B$3:$B$1000,'Name List'!#REF!),2,FALSE),"")</f>
        <v/>
      </c>
      <c r="CS3" s="198" t="str">
        <f>IF(CS2&lt;&gt;"",VLOOKUP(CS$2,CHOOSE({1,2},'Name List'!$B$3:$B$1000,'Name List'!#REF!),2,FALSE),"")</f>
        <v/>
      </c>
      <c r="CT3" s="198" t="str">
        <f>IF(CT2&lt;&gt;"",VLOOKUP(CT$2,CHOOSE({1,2},'Name List'!$B$3:$B$1000,'Name List'!#REF!),2,FALSE),"")</f>
        <v/>
      </c>
      <c r="CU3" s="198" t="str">
        <f>IF(CU2&lt;&gt;"",VLOOKUP(CU$2,CHOOSE({1,2},'Name List'!$B$3:$B$1000,'Name List'!#REF!),2,FALSE),"")</f>
        <v/>
      </c>
      <c r="CV3" s="198" t="str">
        <f>IF(CV2&lt;&gt;"",VLOOKUP(CV$2,CHOOSE({1,2},'Name List'!$B$3:$B$1000,'Name List'!#REF!),2,FALSE),"")</f>
        <v/>
      </c>
      <c r="CW3" s="198" t="str">
        <f>IF(CW2&lt;&gt;"",VLOOKUP(CW$2,CHOOSE({1,2},'Name List'!$B$3:$B$1000,'Name List'!#REF!),2,FALSE),"")</f>
        <v/>
      </c>
      <c r="CX3" s="198" t="str">
        <f>IF(CX2&lt;&gt;"",VLOOKUP(CX$2,CHOOSE({1,2},'Name List'!$B$3:$B$1000,'Name List'!#REF!),2,FALSE),"")</f>
        <v/>
      </c>
      <c r="CY3" s="198" t="str">
        <f>IF(CY2&lt;&gt;"",VLOOKUP(CY$2,CHOOSE({1,2},'Name List'!$B$3:$B$1000,'Name List'!#REF!),2,FALSE),"")</f>
        <v/>
      </c>
      <c r="CZ3" s="198" t="str">
        <f>IF(CZ2&lt;&gt;"",VLOOKUP(CZ$2,CHOOSE({1,2},'Name List'!$B$3:$B$1000,'Name List'!#REF!),2,FALSE),"")</f>
        <v/>
      </c>
      <c r="DA3" s="198" t="str">
        <f>IF(DA2&lt;&gt;"",VLOOKUP(DA$2,CHOOSE({1,2},'Name List'!$B$3:$B$1000,'Name List'!#REF!),2,FALSE),"")</f>
        <v/>
      </c>
      <c r="DB3" s="198" t="str">
        <f>IF(DB2&lt;&gt;"",VLOOKUP(DB$2,CHOOSE({1,2},'Name List'!$B$3:$B$1000,'Name List'!#REF!),2,FALSE),"")</f>
        <v/>
      </c>
      <c r="DC3" s="198" t="str">
        <f>IF(DC2&lt;&gt;"",VLOOKUP(DC$2,CHOOSE({1,2},'Name List'!$B$3:$B$1000,'Name List'!#REF!),2,FALSE),"")</f>
        <v/>
      </c>
      <c r="DD3" s="198" t="str">
        <f>IF(DD2&lt;&gt;"",VLOOKUP(DD$2,CHOOSE({1,2},'Name List'!$B$3:$B$1000,'Name List'!#REF!),2,FALSE),"")</f>
        <v/>
      </c>
      <c r="DE3" s="198" t="str">
        <f>IF(DE2&lt;&gt;"",VLOOKUP(DE$2,CHOOSE({1,2},'Name List'!$B$3:$B$1000,'Name List'!#REF!),2,FALSE),"")</f>
        <v/>
      </c>
      <c r="DF3" s="198" t="str">
        <f>IF(DF2&lt;&gt;"",VLOOKUP(DF$2,CHOOSE({1,2},'Name List'!$B$3:$B$1000,'Name List'!#REF!),2,FALSE),"")</f>
        <v/>
      </c>
      <c r="DG3" s="198" t="str">
        <f>IF(DG2&lt;&gt;"",VLOOKUP(DG$2,CHOOSE({1,2},'Name List'!$B$3:$B$1000,'Name List'!#REF!),2,FALSE),"")</f>
        <v/>
      </c>
      <c r="DH3" s="198" t="str">
        <f>IF(DH2&lt;&gt;"",VLOOKUP(DH$2,CHOOSE({1,2},'Name List'!$B$3:$B$1000,'Name List'!#REF!),2,FALSE),"")</f>
        <v/>
      </c>
      <c r="DI3" s="198" t="str">
        <f>IF(DI2&lt;&gt;"",VLOOKUP(DI$2,CHOOSE({1,2},'Name List'!$B$3:$B$1000,'Name List'!#REF!),2,FALSE),"")</f>
        <v/>
      </c>
      <c r="DJ3" s="198" t="str">
        <f>IF(DJ2&lt;&gt;"",VLOOKUP(DJ$2,CHOOSE({1,2},'Name List'!$B$3:$B$1000,'Name List'!#REF!),2,FALSE),"")</f>
        <v/>
      </c>
      <c r="DK3" s="198" t="str">
        <f>IF(DK2&lt;&gt;"",VLOOKUP(DK$2,CHOOSE({1,2},'Name List'!$B$3:$B$1000,'Name List'!#REF!),2,FALSE),"")</f>
        <v/>
      </c>
      <c r="DL3" s="198" t="str">
        <f>IF(DL2&lt;&gt;"",VLOOKUP(DL$2,CHOOSE({1,2},'Name List'!$B$3:$B$1000,'Name List'!#REF!),2,FALSE),"")</f>
        <v/>
      </c>
      <c r="DM3" s="198" t="str">
        <f>IF(DM2&lt;&gt;"",VLOOKUP(DM$2,CHOOSE({1,2},'Name List'!$B$3:$B$1000,'Name List'!#REF!),2,FALSE),"")</f>
        <v/>
      </c>
      <c r="DN3" s="198" t="str">
        <f>IF(DN2&lt;&gt;"",VLOOKUP(DN$2,CHOOSE({1,2},'Name List'!$B$3:$B$1000,'Name List'!#REF!),2,FALSE),"")</f>
        <v/>
      </c>
      <c r="DO3" s="198" t="str">
        <f>IF(DO2&lt;&gt;"",VLOOKUP(DO$2,CHOOSE({1,2},'Name List'!$B$3:$B$1000,'Name List'!#REF!),2,FALSE),"")</f>
        <v/>
      </c>
      <c r="DP3" s="198" t="str">
        <f>IF(DP2&lt;&gt;"",VLOOKUP(DP$2,CHOOSE({1,2},'Name List'!$B$3:$B$1000,'Name List'!#REF!),2,FALSE),"")</f>
        <v/>
      </c>
      <c r="DQ3" s="198" t="str">
        <f>IF(DQ2&lt;&gt;"",VLOOKUP(DQ$2,CHOOSE({1,2},'Name List'!$B$3:$B$1000,'Name List'!#REF!),2,FALSE),"")</f>
        <v/>
      </c>
      <c r="DR3" s="198" t="str">
        <f>IF(DR2&lt;&gt;"",VLOOKUP(DR$2,CHOOSE({1,2},'Name List'!$B$3:$B$1000,'Name List'!#REF!),2,FALSE),"")</f>
        <v/>
      </c>
      <c r="DS3" s="198" t="str">
        <f>IF(DS2&lt;&gt;"",VLOOKUP(DS$2,CHOOSE({1,2},'Name List'!$B$3:$B$1000,'Name List'!#REF!),2,FALSE),"")</f>
        <v/>
      </c>
      <c r="DT3" s="198" t="str">
        <f>IF(DT2&lt;&gt;"",VLOOKUP(DT$2,CHOOSE({1,2},'Name List'!$B$3:$B$1000,'Name List'!#REF!),2,FALSE),"")</f>
        <v/>
      </c>
      <c r="DU3" s="198" t="str">
        <f>IF(DU2&lt;&gt;"",VLOOKUP(DU$2,CHOOSE({1,2},'Name List'!$B$3:$B$1000,'Name List'!#REF!),2,FALSE),"")</f>
        <v/>
      </c>
      <c r="DV3" s="198" t="str">
        <f>IF(DV2&lt;&gt;"",VLOOKUP(DV$2,CHOOSE({1,2},'Name List'!$B$3:$B$1000,'Name List'!#REF!),2,FALSE),"")</f>
        <v/>
      </c>
      <c r="DW3" s="198" t="str">
        <f>IF(DW2&lt;&gt;"",VLOOKUP(DW$2,CHOOSE({1,2},'Name List'!$B$3:$B$1000,'Name List'!#REF!),2,FALSE),"")</f>
        <v/>
      </c>
      <c r="DX3" s="198" t="str">
        <f>IF(DX2&lt;&gt;"",VLOOKUP(DX$2,CHOOSE({1,2},'Name List'!$B$3:$B$1000,'Name List'!#REF!),2,FALSE),"")</f>
        <v/>
      </c>
      <c r="DY3" s="198" t="str">
        <f>IF(DY2&lt;&gt;"",VLOOKUP(DY$2,CHOOSE({1,2},'Name List'!$B$3:$B$1000,'Name List'!#REF!),2,FALSE),"")</f>
        <v/>
      </c>
      <c r="DZ3" s="198" t="str">
        <f>IF(DZ2&lt;&gt;"",VLOOKUP(DZ$2,CHOOSE({1,2},'Name List'!$B$3:$B$1000,'Name List'!#REF!),2,FALSE),"")</f>
        <v/>
      </c>
      <c r="EA3" s="198" t="str">
        <f>IF(EA2&lt;&gt;"",VLOOKUP(EA$2,CHOOSE({1,2},'Name List'!$B$3:$B$1000,'Name List'!#REF!),2,FALSE),"")</f>
        <v/>
      </c>
      <c r="EB3" s="198" t="str">
        <f>IF(EB2&lt;&gt;"",VLOOKUP(EB$2,CHOOSE({1,2},'Name List'!$B$3:$B$1000,'Name List'!#REF!),2,FALSE),"")</f>
        <v/>
      </c>
      <c r="EC3" s="198" t="str">
        <f>IF(EC2&lt;&gt;"",VLOOKUP(EC$2,CHOOSE({1,2},'Name List'!$B$3:$B$1000,'Name List'!#REF!),2,FALSE),"")</f>
        <v/>
      </c>
      <c r="ED3" s="198" t="str">
        <f>IF(ED2&lt;&gt;"",VLOOKUP(ED$2,CHOOSE({1,2},'Name List'!$B$3:$B$1000,'Name List'!#REF!),2,FALSE),"")</f>
        <v/>
      </c>
      <c r="EE3" s="198" t="str">
        <f>IF(EE2&lt;&gt;"",VLOOKUP(EE$2,CHOOSE({1,2},'Name List'!$B$3:$B$1000,'Name List'!#REF!),2,FALSE),"")</f>
        <v/>
      </c>
      <c r="EF3" s="198" t="str">
        <f>IF(EF2&lt;&gt;"",VLOOKUP(EF$2,CHOOSE({1,2},'Name List'!$B$3:$B$1000,'Name List'!#REF!),2,FALSE),"")</f>
        <v/>
      </c>
      <c r="EG3" s="198" t="str">
        <f>IF(EG2&lt;&gt;"",VLOOKUP(EG$2,CHOOSE({1,2},'Name List'!$B$3:$B$1000,'Name List'!#REF!),2,FALSE),"")</f>
        <v/>
      </c>
      <c r="EH3" s="198" t="str">
        <f>IF(EH2&lt;&gt;"",VLOOKUP(EH$2,CHOOSE({1,2},'Name List'!$B$3:$B$1000,'Name List'!#REF!),2,FALSE),"")</f>
        <v/>
      </c>
      <c r="EI3" s="198" t="str">
        <f>IF(EI2&lt;&gt;"",VLOOKUP(EI$2,CHOOSE({1,2},'Name List'!$B$3:$B$1000,'Name List'!#REF!),2,FALSE),"")</f>
        <v/>
      </c>
      <c r="EJ3" s="198" t="str">
        <f>IF(EJ2&lt;&gt;"",VLOOKUP(EJ$2,CHOOSE({1,2},'Name List'!$B$3:$B$1000,'Name List'!#REF!),2,FALSE),"")</f>
        <v/>
      </c>
      <c r="EK3" s="198" t="str">
        <f>IF(EK2&lt;&gt;"",VLOOKUP(EK$2,CHOOSE({1,2},'Name List'!$B$3:$B$1000,'Name List'!#REF!),2,FALSE),"")</f>
        <v/>
      </c>
      <c r="EL3" s="198" t="str">
        <f>IF(EL2&lt;&gt;"",VLOOKUP(EL$2,CHOOSE({1,2},'Name List'!$B$3:$B$1000,'Name List'!#REF!),2,FALSE),"")</f>
        <v/>
      </c>
      <c r="EM3" s="198" t="str">
        <f>IF(EM2&lt;&gt;"",VLOOKUP(EM$2,CHOOSE({1,2},'Name List'!$B$3:$B$1000,'Name List'!#REF!),2,FALSE),"")</f>
        <v/>
      </c>
      <c r="EN3" s="198" t="str">
        <f>IF(EN2&lt;&gt;"",VLOOKUP(EN$2,CHOOSE({1,2},'Name List'!$B$3:$B$1000,'Name List'!#REF!),2,FALSE),"")</f>
        <v/>
      </c>
      <c r="EO3" s="198" t="str">
        <f>IF(EO2&lt;&gt;"",VLOOKUP(EO$2,CHOOSE({1,2},'Name List'!$B$3:$B$1000,'Name List'!#REF!),2,FALSE),"")</f>
        <v/>
      </c>
      <c r="EP3" s="198" t="str">
        <f>IF(EP2&lt;&gt;"",VLOOKUP(EP$2,CHOOSE({1,2},'Name List'!$B$3:$B$1000,'Name List'!#REF!),2,FALSE),"")</f>
        <v/>
      </c>
      <c r="EQ3" s="198" t="str">
        <f>IF(EQ2&lt;&gt;"",VLOOKUP(EQ$2,CHOOSE({1,2},'Name List'!$B$3:$B$1000,'Name List'!#REF!),2,FALSE),"")</f>
        <v/>
      </c>
      <c r="ER3" s="198" t="str">
        <f>IF(ER2&lt;&gt;"",VLOOKUP(ER$2,CHOOSE({1,2},'Name List'!$B$3:$B$1000,'Name List'!#REF!),2,FALSE),"")</f>
        <v/>
      </c>
      <c r="ES3" s="198" t="str">
        <f>IF(ES2&lt;&gt;"",VLOOKUP(ES$2,CHOOSE({1,2},'Name List'!$B$3:$B$1000,'Name List'!#REF!),2,FALSE),"")</f>
        <v/>
      </c>
      <c r="ET3" s="198" t="str">
        <f>IF(ET2&lt;&gt;"",VLOOKUP(ET$2,CHOOSE({1,2},'Name List'!$B$3:$B$1000,'Name List'!#REF!),2,FALSE),"")</f>
        <v/>
      </c>
      <c r="EU3" s="198" t="str">
        <f>IF(EU2&lt;&gt;"",VLOOKUP(EU$2,CHOOSE({1,2},'Name List'!$B$3:$B$1000,'Name List'!#REF!),2,FALSE),"")</f>
        <v/>
      </c>
      <c r="EV3" s="198" t="str">
        <f>IF(EV2&lt;&gt;"",VLOOKUP(EV$2,CHOOSE({1,2},'Name List'!$B$3:$B$1000,'Name List'!#REF!),2,FALSE),"")</f>
        <v/>
      </c>
      <c r="EW3" s="198" t="str">
        <f>IF(EW2&lt;&gt;"",VLOOKUP(EW$2,CHOOSE({1,2},'Name List'!$B$3:$B$1000,'Name List'!#REF!),2,FALSE),"")</f>
        <v/>
      </c>
      <c r="EX3" s="198" t="str">
        <f>IF(EX2&lt;&gt;"",VLOOKUP(EX$2,CHOOSE({1,2},'Name List'!$B$3:$B$1000,'Name List'!#REF!),2,FALSE),"")</f>
        <v/>
      </c>
      <c r="EY3" s="198" t="str">
        <f>IF(EY2&lt;&gt;"",VLOOKUP(EY$2,CHOOSE({1,2},'Name List'!$B$3:$B$1000,'Name List'!#REF!),2,FALSE),"")</f>
        <v/>
      </c>
      <c r="EZ3" s="198" t="str">
        <f>IF(EZ2&lt;&gt;"",VLOOKUP(EZ$2,CHOOSE({1,2},'Name List'!$B$3:$B$1000,'Name List'!#REF!),2,FALSE),"")</f>
        <v/>
      </c>
      <c r="FA3" s="198" t="str">
        <f>IF(FA2&lt;&gt;"",VLOOKUP(FA$2,CHOOSE({1,2},'Name List'!$B$3:$B$1000,'Name List'!#REF!),2,FALSE),"")</f>
        <v/>
      </c>
      <c r="FB3" s="198" t="str">
        <f>IF(FB2&lt;&gt;"",VLOOKUP(FB$2,CHOOSE({1,2},'Name List'!$B$3:$B$1000,'Name List'!#REF!),2,FALSE),"")</f>
        <v/>
      </c>
      <c r="FC3" s="198" t="str">
        <f>IF(FC2&lt;&gt;"",VLOOKUP(FC$2,CHOOSE({1,2},'Name List'!$B$3:$B$1000,'Name List'!#REF!),2,FALSE),"")</f>
        <v/>
      </c>
      <c r="FD3" s="198" t="str">
        <f>IF(FD2&lt;&gt;"",VLOOKUP(FD$2,CHOOSE({1,2},'Name List'!$B$3:$B$1000,'Name List'!#REF!),2,FALSE),"")</f>
        <v/>
      </c>
      <c r="FE3" s="198" t="str">
        <f>IF(FE2&lt;&gt;"",VLOOKUP(FE$2,CHOOSE({1,2},'Name List'!$B$3:$B$1000,'Name List'!#REF!),2,FALSE),"")</f>
        <v/>
      </c>
      <c r="FF3" s="198" t="str">
        <f>IF(FF2&lt;&gt;"",VLOOKUP(FF$2,CHOOSE({1,2},'Name List'!$B$3:$B$1000,'Name List'!#REF!),2,FALSE),"")</f>
        <v/>
      </c>
      <c r="FG3" s="198" t="str">
        <f>IF(FG2&lt;&gt;"",VLOOKUP(FG$2,CHOOSE({1,2},'Name List'!$B$3:$B$1000,'Name List'!#REF!),2,FALSE),"")</f>
        <v/>
      </c>
      <c r="FH3" s="198" t="str">
        <f>IF(FH2&lt;&gt;"",VLOOKUP(FH$2,CHOOSE({1,2},'Name List'!$B$3:$B$1000,'Name List'!#REF!),2,FALSE),"")</f>
        <v/>
      </c>
      <c r="FI3" s="198" t="str">
        <f>IF(FI2&lt;&gt;"",VLOOKUP(FI$2,CHOOSE({1,2},'Name List'!$B$3:$B$1000,'Name List'!#REF!),2,FALSE),"")</f>
        <v/>
      </c>
      <c r="FJ3" s="198" t="str">
        <f>IF(FJ2&lt;&gt;"",VLOOKUP(FJ$2,CHOOSE({1,2},'Name List'!$B$3:$B$1000,'Name List'!#REF!),2,FALSE),"")</f>
        <v/>
      </c>
      <c r="FK3" s="198" t="str">
        <f>IF(FK2&lt;&gt;"",VLOOKUP(FK$2,CHOOSE({1,2},'Name List'!$B$3:$B$1000,'Name List'!#REF!),2,FALSE),"")</f>
        <v/>
      </c>
      <c r="FL3" s="198" t="str">
        <f>IF(FL2&lt;&gt;"",VLOOKUP(FL$2,CHOOSE({1,2},'Name List'!$B$3:$B$1000,'Name List'!#REF!),2,FALSE),"")</f>
        <v/>
      </c>
      <c r="FM3" s="198" t="str">
        <f>IF(FM2&lt;&gt;"",VLOOKUP(FM$2,CHOOSE({1,2},'Name List'!$B$3:$B$1000,'Name List'!#REF!),2,FALSE),"")</f>
        <v/>
      </c>
      <c r="FN3" s="198" t="str">
        <f>IF(FN2&lt;&gt;"",VLOOKUP(FN$2,CHOOSE({1,2},'Name List'!$B$3:$B$1000,'Name List'!#REF!),2,FALSE),"")</f>
        <v/>
      </c>
      <c r="FO3" s="198" t="str">
        <f>IF(FO2&lt;&gt;"",VLOOKUP(FO$2,CHOOSE({1,2},'Name List'!$B$3:$B$1000,'Name List'!#REF!),2,FALSE),"")</f>
        <v/>
      </c>
      <c r="FP3" s="198" t="str">
        <f>IF(FP2&lt;&gt;"",VLOOKUP(FP$2,CHOOSE({1,2},'Name List'!$B$3:$B$1000,'Name List'!#REF!),2,FALSE),"")</f>
        <v/>
      </c>
      <c r="FQ3" s="198" t="str">
        <f>IF(FQ2&lt;&gt;"",VLOOKUP(FQ$2,CHOOSE({1,2},'Name List'!$B$3:$B$1000,'Name List'!#REF!),2,FALSE),"")</f>
        <v/>
      </c>
      <c r="FR3" s="198" t="str">
        <f>IF(FR2&lt;&gt;"",VLOOKUP(FR$2,CHOOSE({1,2},'Name List'!$B$3:$B$1000,'Name List'!#REF!),2,FALSE),"")</f>
        <v/>
      </c>
      <c r="FS3" s="198" t="str">
        <f>IF(FS2&lt;&gt;"",VLOOKUP(FS$2,CHOOSE({1,2},'Name List'!$B$3:$B$1000,'Name List'!#REF!),2,FALSE),"")</f>
        <v/>
      </c>
      <c r="FT3" s="198" t="str">
        <f>IF(FT2&lt;&gt;"",VLOOKUP(FT$2,CHOOSE({1,2},'Name List'!$B$3:$B$1000,'Name List'!#REF!),2,FALSE),"")</f>
        <v/>
      </c>
      <c r="FU3" s="198" t="str">
        <f>IF(FU2&lt;&gt;"",VLOOKUP(FU$2,CHOOSE({1,2},'Name List'!$B$3:$B$1000,'Name List'!#REF!),2,FALSE),"")</f>
        <v/>
      </c>
      <c r="FV3" s="198" t="str">
        <f>IF(FV2&lt;&gt;"",VLOOKUP(FV$2,CHOOSE({1,2},'Name List'!$B$3:$B$1000,'Name List'!#REF!),2,FALSE),"")</f>
        <v/>
      </c>
      <c r="FW3" s="198" t="str">
        <f>IF(FW2&lt;&gt;"",VLOOKUP(FW$2,CHOOSE({1,2},'Name List'!$B$3:$B$1000,'Name List'!#REF!),2,FALSE),"")</f>
        <v/>
      </c>
      <c r="FX3" s="198" t="str">
        <f>IF(FX2&lt;&gt;"",VLOOKUP(FX$2,CHOOSE({1,2},'Name List'!$B$3:$B$1000,'Name List'!#REF!),2,FALSE),"")</f>
        <v/>
      </c>
      <c r="FY3" s="198" t="str">
        <f>IF(FY2&lt;&gt;"",VLOOKUP(FY$2,CHOOSE({1,2},'Name List'!$B$3:$B$1000,'Name List'!#REF!),2,FALSE),"")</f>
        <v/>
      </c>
      <c r="FZ3" s="198" t="str">
        <f>IF(FZ2&lt;&gt;"",VLOOKUP(FZ$2,CHOOSE({1,2},'Name List'!$B$3:$B$1000,'Name List'!#REF!),2,FALSE),"")</f>
        <v/>
      </c>
      <c r="GA3" s="198" t="str">
        <f>IF(GA2&lt;&gt;"",VLOOKUP(GA$2,CHOOSE({1,2},'Name List'!$B$3:$B$1000,'Name List'!#REF!),2,FALSE),"")</f>
        <v/>
      </c>
      <c r="GB3" s="198" t="str">
        <f>IF(GB2&lt;&gt;"",VLOOKUP(GB$2,CHOOSE({1,2},'Name List'!$B$3:$B$1000,'Name List'!#REF!),2,FALSE),"")</f>
        <v/>
      </c>
      <c r="GC3" s="198" t="str">
        <f>IF(GC2&lt;&gt;"",VLOOKUP(GC$2,CHOOSE({1,2},'Name List'!$B$3:$B$1000,'Name List'!#REF!),2,FALSE),"")</f>
        <v/>
      </c>
      <c r="GD3" s="198" t="str">
        <f>IF(GD2&lt;&gt;"",VLOOKUP(GD$2,CHOOSE({1,2},'Name List'!$B$3:$B$1000,'Name List'!#REF!),2,FALSE),"")</f>
        <v/>
      </c>
      <c r="GE3" s="198" t="str">
        <f>IF(GE2&lt;&gt;"",VLOOKUP(GE$2,CHOOSE({1,2},'Name List'!$B$3:$B$1000,'Name List'!#REF!),2,FALSE),"")</f>
        <v/>
      </c>
      <c r="GF3" s="198" t="str">
        <f>IF(GF2&lt;&gt;"",VLOOKUP(GF$2,CHOOSE({1,2},'Name List'!$B$3:$B$1000,'Name List'!#REF!),2,FALSE),"")</f>
        <v/>
      </c>
      <c r="GG3" s="198" t="str">
        <f>IF(GG2&lt;&gt;"",VLOOKUP(GG$2,CHOOSE({1,2},'Name List'!$B$3:$B$1000,'Name List'!#REF!),2,FALSE),"")</f>
        <v/>
      </c>
      <c r="GH3" s="198" t="str">
        <f>IF(GH2&lt;&gt;"",VLOOKUP(GH$2,CHOOSE({1,2},'Name List'!$B$3:$B$1000,'Name List'!#REF!),2,FALSE),"")</f>
        <v/>
      </c>
      <c r="GI3" s="198" t="str">
        <f>IF(GI2&lt;&gt;"",VLOOKUP(GI$2,CHOOSE({1,2},'Name List'!$B$3:$B$1000,'Name List'!#REF!),2,FALSE),"")</f>
        <v/>
      </c>
      <c r="GJ3" s="198" t="str">
        <f>IF(GJ2&lt;&gt;"",VLOOKUP(GJ$2,CHOOSE({1,2},'Name List'!$B$3:$B$1000,'Name List'!#REF!),2,FALSE),"")</f>
        <v/>
      </c>
      <c r="GK3" s="198" t="str">
        <f>IF(GK2&lt;&gt;"",VLOOKUP(GK$2,CHOOSE({1,2},'Name List'!$B$3:$B$1000,'Name List'!#REF!),2,FALSE),"")</f>
        <v/>
      </c>
      <c r="GL3" s="198" t="str">
        <f>IF(GL2&lt;&gt;"",VLOOKUP(GL$2,CHOOSE({1,2},'Name List'!$B$3:$B$1000,'Name List'!#REF!),2,FALSE),"")</f>
        <v/>
      </c>
      <c r="GM3" s="198" t="str">
        <f>IF(GM2&lt;&gt;"",VLOOKUP(GM$2,CHOOSE({1,2},'Name List'!$B$3:$B$1000,'Name List'!#REF!),2,FALSE),"")</f>
        <v/>
      </c>
      <c r="GN3" s="198" t="str">
        <f>IF(GN2&lt;&gt;"",VLOOKUP(GN$2,CHOOSE({1,2},'Name List'!$B$3:$B$1000,'Name List'!#REF!),2,FALSE),"")</f>
        <v/>
      </c>
      <c r="GO3" s="198" t="str">
        <f>IF(GO2&lt;&gt;"",VLOOKUP(GO$2,CHOOSE({1,2},'Name List'!$B$3:$B$1000,'Name List'!#REF!),2,FALSE),"")</f>
        <v/>
      </c>
      <c r="GP3" s="198" t="str">
        <f>IF(GP2&lt;&gt;"",VLOOKUP(GP$2,CHOOSE({1,2},'Name List'!$B$3:$B$1000,'Name List'!#REF!),2,FALSE),"")</f>
        <v/>
      </c>
      <c r="GQ3" s="198" t="str">
        <f>IF(GQ2&lt;&gt;"",VLOOKUP(GQ$2,CHOOSE({1,2},'Name List'!$B$3:$B$1000,'Name List'!#REF!),2,FALSE),"")</f>
        <v/>
      </c>
      <c r="GR3" s="198" t="str">
        <f>IF(GR2&lt;&gt;"",VLOOKUP(GR$2,CHOOSE({1,2},'Name List'!$B$3:$B$1000,'Name List'!#REF!),2,FALSE),"")</f>
        <v/>
      </c>
      <c r="GS3" s="198" t="str">
        <f>IF(GS2&lt;&gt;"",VLOOKUP(GS$2,CHOOSE({1,2},'Name List'!$B$3:$B$1000,'Name List'!#REF!),2,FALSE),"")</f>
        <v/>
      </c>
      <c r="GT3" s="198" t="str">
        <f>IF(GT2&lt;&gt;"",VLOOKUP(GT$2,CHOOSE({1,2},'Name List'!$B$3:$B$1000,'Name List'!#REF!),2,FALSE),"")</f>
        <v/>
      </c>
      <c r="GU3" s="198" t="str">
        <f>IF(GU2&lt;&gt;"",VLOOKUP(GU$2,CHOOSE({1,2},'Name List'!$B$3:$B$1000,'Name List'!#REF!),2,FALSE),"")</f>
        <v/>
      </c>
      <c r="GV3" s="198" t="str">
        <f>IF(GV2&lt;&gt;"",VLOOKUP(GV$2,CHOOSE({1,2},'Name List'!$B$3:$B$1000,'Name List'!#REF!),2,FALSE),"")</f>
        <v/>
      </c>
      <c r="GW3" s="198" t="str">
        <f>IF(GW2&lt;&gt;"",VLOOKUP(GW$2,CHOOSE({1,2},'Name List'!$B$3:$B$1000,'Name List'!#REF!),2,FALSE),"")</f>
        <v/>
      </c>
      <c r="GX3" s="198" t="str">
        <f>IF(GX2&lt;&gt;"",VLOOKUP(GX$2,CHOOSE({1,2},'Name List'!$B$3:$B$1000,'Name List'!#REF!),2,FALSE),"")</f>
        <v/>
      </c>
      <c r="GY3" s="198" t="str">
        <f>IF(GY2&lt;&gt;"",VLOOKUP(GY$2,CHOOSE({1,2},'Name List'!$B$3:$B$1000,'Name List'!#REF!),2,FALSE),"")</f>
        <v/>
      </c>
      <c r="GZ3" s="198" t="str">
        <f>IF(GZ2&lt;&gt;"",VLOOKUP(GZ$2,CHOOSE({1,2},'Name List'!$B$3:$B$1000,'Name List'!#REF!),2,FALSE),"")</f>
        <v/>
      </c>
      <c r="HA3" s="198" t="str">
        <f>IF(HA2&lt;&gt;"",VLOOKUP(HA$2,CHOOSE({1,2},'Name List'!$B$3:$B$1000,'Name List'!#REF!),2,FALSE),"")</f>
        <v/>
      </c>
      <c r="HB3" s="198" t="str">
        <f>IF(HB2&lt;&gt;"",VLOOKUP(HB$2,CHOOSE({1,2},'Name List'!$B$3:$B$1000,'Name List'!#REF!),2,FALSE),"")</f>
        <v/>
      </c>
      <c r="HC3" s="198" t="str">
        <f>IF(HC2&lt;&gt;"",VLOOKUP(HC$2,CHOOSE({1,2},'Name List'!$B$3:$B$1000,'Name List'!#REF!),2,FALSE),"")</f>
        <v/>
      </c>
      <c r="HD3" s="198" t="str">
        <f>IF(HD2&lt;&gt;"",VLOOKUP(HD$2,CHOOSE({1,2},'Name List'!$B$3:$B$1000,'Name List'!#REF!),2,FALSE),"")</f>
        <v/>
      </c>
      <c r="HE3" s="198" t="str">
        <f>IF(HE2&lt;&gt;"",VLOOKUP(HE$2,CHOOSE({1,2},'Name List'!$B$3:$B$1000,'Name List'!#REF!),2,FALSE),"")</f>
        <v/>
      </c>
      <c r="HF3" s="198" t="str">
        <f>IF(HF2&lt;&gt;"",VLOOKUP(HF$2,CHOOSE({1,2},'Name List'!$B$3:$B$1000,'Name List'!#REF!),2,FALSE),"")</f>
        <v/>
      </c>
      <c r="HG3" s="198" t="str">
        <f>IF(HG2&lt;&gt;"",VLOOKUP(HG$2,CHOOSE({1,2},'Name List'!$B$3:$B$1000,'Name List'!#REF!),2,FALSE),"")</f>
        <v/>
      </c>
      <c r="HH3" s="198" t="str">
        <f>IF(HH2&lt;&gt;"",VLOOKUP(HH$2,CHOOSE({1,2},'Name List'!$B$3:$B$1000,'Name List'!#REF!),2,FALSE),"")</f>
        <v/>
      </c>
      <c r="HI3" s="198" t="str">
        <f>IF(HI2&lt;&gt;"",VLOOKUP(HI$2,CHOOSE({1,2},'Name List'!$B$3:$B$1000,'Name List'!#REF!),2,FALSE),"")</f>
        <v/>
      </c>
      <c r="HJ3" s="198" t="str">
        <f>IF(HJ2&lt;&gt;"",VLOOKUP(HJ$2,CHOOSE({1,2},'Name List'!$B$3:$B$1000,'Name List'!#REF!),2,FALSE),"")</f>
        <v/>
      </c>
      <c r="HK3" s="198" t="str">
        <f>IF(HK2&lt;&gt;"",VLOOKUP(HK$2,CHOOSE({1,2},'Name List'!$B$3:$B$1000,'Name List'!#REF!),2,FALSE),"")</f>
        <v/>
      </c>
      <c r="HL3" s="198" t="str">
        <f>IF(HL2&lt;&gt;"",VLOOKUP(HL$2,CHOOSE({1,2},'Name List'!$B$3:$B$1000,'Name List'!#REF!),2,FALSE),"")</f>
        <v/>
      </c>
      <c r="HM3" s="198" t="str">
        <f>IF(HM2&lt;&gt;"",VLOOKUP(HM$2,CHOOSE({1,2},'Name List'!$B$3:$B$1000,'Name List'!#REF!),2,FALSE),"")</f>
        <v/>
      </c>
      <c r="HN3" s="198" t="str">
        <f>IF(HN2&lt;&gt;"",VLOOKUP(HN$2,CHOOSE({1,2},'Name List'!$B$3:$B$1000,'Name List'!#REF!),2,FALSE),"")</f>
        <v/>
      </c>
    </row>
    <row r="4" spans="1:222" s="196" customFormat="1" ht="20.100000000000001" customHeight="1" thickBot="1" x14ac:dyDescent="0.35">
      <c r="B4" s="197" t="s">
        <v>7</v>
      </c>
      <c r="C4" s="198" t="e">
        <f>IF(C2&lt;&gt;"",VLOOKUP(C$2,CHOOSE({1,2},'Name List'!$B$3:$B$1000,'Name List'!$A$3:$A$1000),2,FALSE),"")</f>
        <v>#N/A</v>
      </c>
      <c r="D4" s="198" t="str">
        <f>IF(D2&lt;&gt;"",VLOOKUP(D$2,CHOOSE({1,2},'Name List'!$B$3:$B$1000,'Name List'!$A$3:$A$1000),2,FALSE),"")</f>
        <v>20150095</v>
      </c>
      <c r="E4" s="198" t="str">
        <f>IF(E2&lt;&gt;"",VLOOKUP(E$2,CHOOSE({1,2},'Name List'!$B$3:$B$1000,'Name List'!$A$3:$A$1000),2,FALSE),"")</f>
        <v>20180387</v>
      </c>
      <c r="F4" s="198" t="e">
        <f>IF(F2&lt;&gt;"",VLOOKUP(F$2,CHOOSE({1,2},'Name List'!$B$3:$B$1000,'Name List'!$A$3:$A$1000),2,FALSE),"")</f>
        <v>#N/A</v>
      </c>
      <c r="G4" s="198" t="str">
        <f>IF(G2&lt;&gt;"",VLOOKUP(G$2,CHOOSE({1,2},'Name List'!$B$3:$B$1000,'Name List'!$A$3:$A$1000),2,FALSE),"")</f>
        <v>20210915</v>
      </c>
      <c r="H4" s="198" t="str">
        <f>IF(H2&lt;&gt;"",VLOOKUP(H$2,CHOOSE({1,2},'Name List'!$B$3:$B$1000,'Name List'!$A$3:$A$1000),2,FALSE),"")</f>
        <v>20221002</v>
      </c>
      <c r="I4" s="198" t="str">
        <f>IF(I2&lt;&gt;"",VLOOKUP(I$2,CHOOSE({1,2},'Name List'!$B$3:$B$1000,'Name List'!$A$3:$A$1000),2,FALSE),"")</f>
        <v>20221034</v>
      </c>
      <c r="J4" s="198" t="str">
        <f>IF(J2&lt;&gt;"",VLOOKUP(J$2,CHOOSE({1,2},'Name List'!$B$3:$B$1000,'Name List'!$A$3:$A$1000),2,FALSE),"")</f>
        <v>20159990</v>
      </c>
      <c r="K4" s="198" t="str">
        <f>IF(K2&lt;&gt;"",VLOOKUP(K$2,CHOOSE({1,2},'Name List'!$B$3:$B$1000,'Name List'!$A$3:$A$1000),2,FALSE),"")</f>
        <v>20180386</v>
      </c>
      <c r="L4" s="198" t="e">
        <f>IF(L2&lt;&gt;"",VLOOKUP(L$2,CHOOSE({1,2},'Name List'!$B$3:$B$1000,'Name List'!$A$3:$A$1000),2,FALSE),"")</f>
        <v>#N/A</v>
      </c>
      <c r="M4" s="198" t="e">
        <f>IF(M2&lt;&gt;"",VLOOKUP(M$2,CHOOSE({1,2},'Name List'!$B$3:$B$1000,'Name List'!$A$3:$A$1000),2,FALSE),"")</f>
        <v>#N/A</v>
      </c>
      <c r="N4" s="198" t="str">
        <f>IF(N2&lt;&gt;"",VLOOKUP(N$2,CHOOSE({1,2},'Name List'!$B$3:$B$1000,'Name List'!$A$3:$A$1000),2,FALSE),"")</f>
        <v>20149888</v>
      </c>
      <c r="O4" s="198" t="e">
        <f>IF(O2&lt;&gt;"",VLOOKUP(O$2,CHOOSE({1,2},'Name List'!$B$3:$B$1000,'Name List'!$A$3:$A$1000),2,FALSE),"")</f>
        <v>#N/A</v>
      </c>
      <c r="P4" s="198" t="e">
        <f>IF(P2&lt;&gt;"",VLOOKUP(P$2,CHOOSE({1,2},'Name List'!$B$3:$B$1000,'Name List'!$A$3:$A$1000),2,FALSE),"")</f>
        <v>#N/A</v>
      </c>
      <c r="Q4" s="198" t="str">
        <f>IF(Q2&lt;&gt;"",VLOOKUP(Q$2,CHOOSE({1,2},'Name List'!$B$3:$B$1000,'Name List'!$A$3:$A$1000),2,FALSE),"")</f>
        <v>20149749</v>
      </c>
      <c r="R4" s="198" t="e">
        <f>IF(R2&lt;&gt;"",VLOOKUP(R$2,CHOOSE({1,2},'Name List'!$B$3:$B$1000,'Name List'!$A$3:$A$1000),2,FALSE),"")</f>
        <v>#N/A</v>
      </c>
      <c r="S4" s="198" t="str">
        <f>IF(S2&lt;&gt;"",VLOOKUP(S$2,CHOOSE({1,2},'Name List'!$B$3:$B$1000,'Name List'!$A$3:$A$1000),2,FALSE),"")</f>
        <v>20210772</v>
      </c>
      <c r="T4" s="198" t="e">
        <f>IF(T2&lt;&gt;"",VLOOKUP(T$2,CHOOSE({1,2},'Name List'!$B$3:$B$1000,'Name List'!$A$3:$A$1000),2,FALSE),"")</f>
        <v>#N/A</v>
      </c>
      <c r="U4" s="198" t="str">
        <f>IF(U2&lt;&gt;"",VLOOKUP(U$2,CHOOSE({1,2},'Name List'!$B$3:$B$1000,'Name List'!$A$3:$A$1000),2,FALSE),"")</f>
        <v>20221025</v>
      </c>
      <c r="V4" s="198" t="str">
        <f>IF(V2&lt;&gt;"",VLOOKUP(V$2,CHOOSE({1,2},'Name List'!$B$3:$B$1000,'Name List'!$A$3:$A$1000),2,FALSE),"")</f>
        <v>20221026</v>
      </c>
      <c r="W4" s="198" t="str">
        <f>IF(W2&lt;&gt;"",VLOOKUP(W$2,CHOOSE({1,2},'Name List'!$B$3:$B$1000,'Name List'!$A$3:$A$1000),2,FALSE),"")</f>
        <v>20221039</v>
      </c>
      <c r="X4" s="198" t="str">
        <f>IF(X2&lt;&gt;"",VLOOKUP(X$2,CHOOSE({1,2},'Name List'!$B$3:$B$1000,'Name List'!$A$3:$A$1000),2,FALSE),"")</f>
        <v>20150023</v>
      </c>
      <c r="Y4" s="198" t="e">
        <f>IF(Y2&lt;&gt;"",VLOOKUP(Y$2,CHOOSE({1,2},'Name List'!$B$3:$B$1000,'Name List'!$A$3:$A$1000),2,FALSE),"")</f>
        <v>#N/A</v>
      </c>
      <c r="Z4" s="198" t="e">
        <f>IF(Z2&lt;&gt;"",VLOOKUP(Z$2,CHOOSE({1,2},'Name List'!$B$3:$B$1000,'Name List'!$A$3:$A$1000),2,FALSE),"")</f>
        <v>#N/A</v>
      </c>
      <c r="AA4" s="198" t="e">
        <f>IF(AA2&lt;&gt;"",VLOOKUP(AA$2,CHOOSE({1,2},'Name List'!$B$3:$B$1000,'Name List'!$A$3:$A$1000),2,FALSE),"")</f>
        <v>#N/A</v>
      </c>
      <c r="AB4" s="198" t="e">
        <f>IF(AB2&lt;&gt;"",VLOOKUP(AB$2,CHOOSE({1,2},'Name List'!$B$3:$B$1000,'Name List'!$A$3:$A$1000),2,FALSE),"")</f>
        <v>#N/A</v>
      </c>
      <c r="AC4" s="198" t="str">
        <f>IF(AC2&lt;&gt;"",VLOOKUP(AC$2,CHOOSE({1,2},'Name List'!$B$3:$B$1000,'Name List'!$A$3:$A$1000),2,FALSE),"")</f>
        <v>20180451</v>
      </c>
      <c r="AD4" s="198" t="str">
        <f>IF(AD2&lt;&gt;"",VLOOKUP(AD$2,CHOOSE({1,2},'Name List'!$B$3:$B$1000,'Name List'!$A$3:$A$1000),2,FALSE),"")</f>
        <v>20160199</v>
      </c>
      <c r="AE4" s="198" t="e">
        <f>IF(AE2&lt;&gt;"",VLOOKUP(AE$2,CHOOSE({1,2},'Name List'!$B$3:$B$1000,'Name List'!$A$3:$A$1000),2,FALSE),"")</f>
        <v>#N/A</v>
      </c>
      <c r="AF4" s="198" t="e">
        <f>IF(AF2&lt;&gt;"",VLOOKUP(AF$2,CHOOSE({1,2},'Name List'!$B$3:$B$1000,'Name List'!$A$3:$A$1000),2,FALSE),"")</f>
        <v>#N/A</v>
      </c>
      <c r="AG4" s="198" t="e">
        <f>IF(AG2&lt;&gt;"",VLOOKUP(AG$2,CHOOSE({1,2},'Name List'!$B$3:$B$1000,'Name List'!$A$3:$A$1000),2,FALSE),"")</f>
        <v>#N/A</v>
      </c>
      <c r="AH4" s="198" t="e">
        <f>IF(AH2&lt;&gt;"",VLOOKUP(AH$2,CHOOSE({1,2},'Name List'!$B$3:$B$1000,'Name List'!$A$3:$A$1000),2,FALSE),"")</f>
        <v>#N/A</v>
      </c>
      <c r="AI4" s="198" t="str">
        <f>IF(AI2&lt;&gt;"",VLOOKUP(AI$2,CHOOSE({1,2},'Name List'!$B$3:$B$1000,'Name List'!$A$3:$A$1000),2,FALSE),"")</f>
        <v>20180471</v>
      </c>
      <c r="AJ4" s="198" t="e">
        <f>IF(AJ2&lt;&gt;"",VLOOKUP(AJ$2,CHOOSE({1,2},'Name List'!$B$3:$B$1000,'Name List'!$A$3:$A$1000),2,FALSE),"")</f>
        <v>#N/A</v>
      </c>
      <c r="AK4" s="198" t="str">
        <f>IF(AK2&lt;&gt;"",VLOOKUP(AK$2,CHOOSE({1,2},'Name List'!$B$3:$B$1000,'Name List'!$A$3:$A$1000),2,FALSE),"")</f>
        <v>20210848</v>
      </c>
      <c r="AL4" s="198" t="str">
        <f>IF(AL2&lt;&gt;"",VLOOKUP(AL$2,CHOOSE({1,2},'Name List'!$B$3:$B$1000,'Name List'!$A$3:$A$1000),2,FALSE),"")</f>
        <v>20210893</v>
      </c>
      <c r="AM4" s="198" t="str">
        <f>IF(AM2&lt;&gt;"",VLOOKUP(AM$2,CHOOSE({1,2},'Name List'!$B$3:$B$1000,'Name List'!$A$3:$A$1000),2,FALSE),"")</f>
        <v>20190478</v>
      </c>
      <c r="AN4" s="198" t="str">
        <f>IF(AN2&lt;&gt;"",VLOOKUP(AN$2,CHOOSE({1,2},'Name List'!$B$3:$B$1000,'Name List'!$A$3:$A$1000),2,FALSE),"")</f>
        <v>20180455</v>
      </c>
      <c r="AO4" s="198" t="str">
        <f>IF(AO2&lt;&gt;"",VLOOKUP(AO$2,CHOOSE({1,2},'Name List'!$B$3:$B$1000,'Name List'!$A$3:$A$1000),2,FALSE),"")</f>
        <v>20210807</v>
      </c>
      <c r="AP4" s="198" t="str">
        <f>IF(AP2&lt;&gt;"",VLOOKUP(AP$2,CHOOSE({1,2},'Name List'!$B$3:$B$1000,'Name List'!$A$3:$A$1000),2,FALSE),"")</f>
        <v>20180445</v>
      </c>
      <c r="AQ4" s="198" t="str">
        <f>IF(AQ2&lt;&gt;"",VLOOKUP(AQ$2,CHOOSE({1,2},'Name List'!$B$3:$B$1000,'Name List'!$A$3:$A$1000),2,FALSE),"")</f>
        <v>20180456</v>
      </c>
      <c r="AR4" s="198" t="str">
        <f>IF(AR2&lt;&gt;"",VLOOKUP(AR$2,CHOOSE({1,2},'Name List'!$B$3:$B$1000,'Name List'!$A$3:$A$1000),2,FALSE),"")</f>
        <v>20210923</v>
      </c>
      <c r="AS4" s="198" t="str">
        <f>IF(AS2&lt;&gt;"",VLOOKUP(AS$2,CHOOSE({1,2},'Name List'!$B$3:$B$1000,'Name List'!$A$3:$A$1000),2,FALSE),"")</f>
        <v>20210722</v>
      </c>
      <c r="AT4" s="198" t="str">
        <f>IF(AT2&lt;&gt;"",VLOOKUP(AT$2,CHOOSE({1,2},'Name List'!$B$3:$B$1000,'Name List'!$A$3:$A$1000),2,FALSE),"")</f>
        <v>20220978</v>
      </c>
      <c r="AU4" s="198" t="str">
        <f>IF(AU2&lt;&gt;"",VLOOKUP(AU$2,CHOOSE({1,2},'Name List'!$B$3:$B$1000,'Name List'!$A$3:$A$1000),2,FALSE),"")</f>
        <v>20221043</v>
      </c>
      <c r="AV4" s="198" t="e">
        <f>IF(AV2&lt;&gt;"",VLOOKUP(AV$2,CHOOSE({1,2},'Name List'!$B$3:$B$1000,'Name List'!$A$3:$A$1000),2,FALSE),"")</f>
        <v>#N/A</v>
      </c>
      <c r="AW4" s="198" t="str">
        <f>IF(AW2&lt;&gt;"",VLOOKUP(AW$2,CHOOSE({1,2},'Name List'!$B$3:$B$1000,'Name List'!$A$3:$A$1000),2,FALSE),"")</f>
        <v>20210929</v>
      </c>
      <c r="AX4" s="198" t="e">
        <f>IF(AX2&lt;&gt;"",VLOOKUP(AX$2,CHOOSE({1,2},'Name List'!$B$3:$B$1000,'Name List'!$A$3:$A$1000),2,FALSE),"")</f>
        <v>#N/A</v>
      </c>
      <c r="AY4" s="198" t="e">
        <f>IF(AY2&lt;&gt;"",VLOOKUP(AY$2,CHOOSE({1,2},'Name List'!$B$3:$B$1000,'Name List'!$A$3:$A$1000),2,FALSE),"")</f>
        <v>#N/A</v>
      </c>
      <c r="AZ4" s="198" t="str">
        <f>IF(AZ2&lt;&gt;"",VLOOKUP(AZ$2,CHOOSE({1,2},'Name List'!$B$3:$B$1000,'Name List'!$A$3:$A$1000),2,FALSE),"")</f>
        <v>20200646</v>
      </c>
      <c r="BA4" s="198" t="e">
        <f>IF(BA2&lt;&gt;"",VLOOKUP(BA$2,CHOOSE({1,2},'Name List'!$B$3:$B$1000,'Name List'!$A$3:$A$1000),2,FALSE),"")</f>
        <v>#N/A</v>
      </c>
      <c r="BB4" s="198" t="e">
        <f>IF(BB2&lt;&gt;"",VLOOKUP(BB$2,CHOOSE({1,2},'Name List'!$B$3:$B$1000,'Name List'!$A$3:$A$1000),2,FALSE),"")</f>
        <v>#N/A</v>
      </c>
      <c r="BC4" s="198" t="str">
        <f>IF(BC2&lt;&gt;"",VLOOKUP(BC$2,CHOOSE({1,2},'Name List'!$B$3:$B$1000,'Name List'!$A$3:$A$1000),2,FALSE),"")</f>
        <v>20210724</v>
      </c>
      <c r="BD4" s="198" t="str">
        <f>IF(BD2&lt;&gt;"",VLOOKUP(BD$2,CHOOSE({1,2},'Name List'!$B$3:$B$1000,'Name List'!$A$3:$A$1000),2,FALSE),"")</f>
        <v>20190487</v>
      </c>
      <c r="BE4" s="198" t="str">
        <f>IF(BE2&lt;&gt;"",VLOOKUP(BE$2,CHOOSE({1,2},'Name List'!$B$3:$B$1000,'Name List'!$A$3:$A$1000),2,FALSE),"")</f>
        <v>20180421</v>
      </c>
      <c r="BF4" s="198" t="str">
        <f>IF(BF2&lt;&gt;"",VLOOKUP(BF$2,CHOOSE({1,2},'Name List'!$B$3:$B$1000,'Name List'!$A$3:$A$1000),2,FALSE),"")</f>
        <v>20210706</v>
      </c>
      <c r="BG4" s="198" t="e">
        <f>IF(BG2&lt;&gt;"",VLOOKUP(BG$2,CHOOSE({1,2},'Name List'!$B$3:$B$1000,'Name List'!$A$3:$A$1000),2,FALSE),"")</f>
        <v>#N/A</v>
      </c>
      <c r="BH4" s="198" t="str">
        <f>IF(BH2&lt;&gt;"",VLOOKUP(BH$2,CHOOSE({1,2},'Name List'!$B$3:$B$1000,'Name List'!$A$3:$A$1000),2,FALSE),"")</f>
        <v>20139626</v>
      </c>
      <c r="BI4" s="198" t="str">
        <f>IF(BI2&lt;&gt;"",VLOOKUP(BI$2,CHOOSE({1,2},'Name List'!$B$3:$B$1000,'Name List'!$A$3:$A$1000),2,FALSE),"")</f>
        <v>20119092</v>
      </c>
      <c r="BJ4" s="198" t="e">
        <f>IF(BJ2&lt;&gt;"",VLOOKUP(BJ$2,CHOOSE({1,2},'Name List'!$B$3:$B$1000,'Name List'!$A$3:$A$1000),2,FALSE),"")</f>
        <v>#N/A</v>
      </c>
      <c r="BK4" s="198" t="str">
        <f>IF(BK2&lt;&gt;"",VLOOKUP(BK$2,CHOOSE({1,2},'Name List'!$B$3:$B$1000,'Name List'!$A$3:$A$1000),2,FALSE),"")</f>
        <v>20220959</v>
      </c>
      <c r="BL4" s="198" t="str">
        <f>IF(BL2&lt;&gt;"",VLOOKUP(BL$2,CHOOSE({1,2},'Name List'!$B$3:$B$1000,'Name List'!$A$3:$A$1000),2,FALSE),"")</f>
        <v>20190531</v>
      </c>
      <c r="BM4" s="198" t="str">
        <f>IF(BM2&lt;&gt;"",VLOOKUP(BM$2,CHOOSE({1,2},'Name List'!$B$3:$B$1000,'Name List'!$A$3:$A$1000),2,FALSE),"")</f>
        <v>20220982</v>
      </c>
      <c r="BN4" s="198" t="e">
        <f>IF(BN2&lt;&gt;"",VLOOKUP(BN$2,CHOOSE({1,2},'Name List'!$B$3:$B$1000,'Name List'!$A$3:$A$1000),2,FALSE),"")</f>
        <v>#N/A</v>
      </c>
      <c r="BO4" s="198" t="str">
        <f>IF(BO2&lt;&gt;"",VLOOKUP(BO$2,CHOOSE({1,2},'Name List'!$B$3:$B$1000,'Name List'!$A$3:$A$1000),2,FALSE),"")</f>
        <v>20210704</v>
      </c>
      <c r="BP4" s="198" t="e">
        <f>IF(BP2&lt;&gt;"",VLOOKUP(BP$2,CHOOSE({1,2},'Name List'!$B$3:$B$1000,'Name List'!$A$3:$A$1000),2,FALSE),"")</f>
        <v>#N/A</v>
      </c>
      <c r="BQ4" s="198" t="str">
        <f>IF(BQ2&lt;&gt;"",VLOOKUP(BQ$2,CHOOSE({1,2},'Name List'!$B$3:$B$1000,'Name List'!$A$3:$A$1000),2,FALSE),"")</f>
        <v>20200680</v>
      </c>
      <c r="BR4" s="198" t="str">
        <f>IF(BR2&lt;&gt;"",VLOOKUP(BR$2,CHOOSE({1,2},'Name List'!$B$3:$B$1000,'Name List'!$A$3:$A$1000),2,FALSE),"")</f>
        <v>20210758</v>
      </c>
      <c r="BS4" s="198" t="str">
        <f>IF(BS2&lt;&gt;"",VLOOKUP(BS$2,CHOOSE({1,2},'Name List'!$B$3:$B$1000,'Name List'!$A$3:$A$1000),2,FALSE),"")</f>
        <v>20220983</v>
      </c>
      <c r="BT4" s="198" t="str">
        <f>IF(BT2&lt;&gt;"",VLOOKUP(BT$2,CHOOSE({1,2},'Name List'!$B$3:$B$1000,'Name List'!$A$3:$A$1000),2,FALSE),"")</f>
        <v>20150097</v>
      </c>
      <c r="BU4" s="198" t="str">
        <f>IF(BU2&lt;&gt;"",VLOOKUP(BU$2,CHOOSE({1,2},'Name List'!$B$3:$B$1000,'Name List'!$A$3:$A$1000),2,FALSE),"")</f>
        <v>20129480</v>
      </c>
      <c r="BV4" s="198" t="str">
        <f>IF(BV2&lt;&gt;"",VLOOKUP(BV$2,CHOOSE({1,2},'Name List'!$B$3:$B$1000,'Name List'!$A$3:$A$1000),2,FALSE),"")</f>
        <v>20150039</v>
      </c>
      <c r="BW4" s="198" t="str">
        <f>IF(BW2&lt;&gt;"",VLOOKUP(BW$2,CHOOSE({1,2},'Name List'!$B$3:$B$1000,'Name List'!$A$3:$A$1000),2,FALSE),"")</f>
        <v>20149803</v>
      </c>
      <c r="BX4" s="198" t="str">
        <f>IF(BX2&lt;&gt;"",VLOOKUP(BX$2,CHOOSE({1,2},'Name List'!$B$3:$B$1000,'Name List'!$A$3:$A$1000),2,FALSE),"")</f>
        <v>20119049</v>
      </c>
      <c r="BY4" s="198" t="e">
        <f>IF(BY2&lt;&gt;"",VLOOKUP(BY$2,CHOOSE({1,2},'Name List'!$B$3:$B$1000,'Name List'!$A$3:$A$1000),2,FALSE),"")</f>
        <v>#N/A</v>
      </c>
      <c r="BZ4" s="198" t="e">
        <f>IF(BZ2&lt;&gt;"",VLOOKUP(BZ$2,CHOOSE({1,2},'Name List'!$B$3:$B$1000,'Name List'!$A$3:$A$1000),2,FALSE),"")</f>
        <v>#N/A</v>
      </c>
      <c r="CA4" s="198" t="e">
        <f>IF(CA2&lt;&gt;"",VLOOKUP(CA$2,CHOOSE({1,2},'Name List'!$B$3:$B$1000,'Name List'!$A$3:$A$1000),2,FALSE),"")</f>
        <v>#N/A</v>
      </c>
      <c r="CB4" s="198" t="e">
        <f>IF(CB2&lt;&gt;"",VLOOKUP(CB$2,CHOOSE({1,2},'Name List'!$B$3:$B$1000,'Name List'!$A$3:$A$1000),2,FALSE),"")</f>
        <v>#N/A</v>
      </c>
      <c r="CC4" s="198" t="e">
        <f>IF(CC2&lt;&gt;"",VLOOKUP(CC$2,CHOOSE({1,2},'Name List'!$B$3:$B$1000,'Name List'!$A$3:$A$1000),2,FALSE),"")</f>
        <v>#N/A</v>
      </c>
      <c r="CD4" s="198" t="e">
        <f>IF(CD2&lt;&gt;"",VLOOKUP(CD$2,CHOOSE({1,2},'Name List'!$B$3:$B$1000,'Name List'!$A$3:$A$1000),2,FALSE),"")</f>
        <v>#N/A</v>
      </c>
      <c r="CE4" s="198" t="e">
        <f>IF(CE2&lt;&gt;"",VLOOKUP(CE$2,CHOOSE({1,2},'Name List'!$B$3:$B$1000,'Name List'!$A$3:$A$1000),2,FALSE),"")</f>
        <v>#N/A</v>
      </c>
      <c r="CF4" s="198" t="e">
        <f>IF(CF2&lt;&gt;"",VLOOKUP(CF$2,CHOOSE({1,2},'Name List'!$B$3:$B$1000,'Name List'!$A$3:$A$1000),2,FALSE),"")</f>
        <v>#N/A</v>
      </c>
      <c r="CG4" s="198" t="e">
        <f>IF(CG2&lt;&gt;"",VLOOKUP(CG$2,CHOOSE({1,2},'Name List'!$B$3:$B$1000,'Name List'!$A$3:$A$1000),2,FALSE),"")</f>
        <v>#N/A</v>
      </c>
      <c r="CH4" s="198" t="e">
        <f>IF(CH2&lt;&gt;"",VLOOKUP(CH$2,CHOOSE({1,2},'Name List'!$B$3:$B$1000,'Name List'!$A$3:$A$1000),2,FALSE),"")</f>
        <v>#N/A</v>
      </c>
      <c r="CI4" s="198" t="e">
        <f>IF(CI2&lt;&gt;"",VLOOKUP(CI$2,CHOOSE({1,2},'Name List'!$B$3:$B$1000,'Name List'!$A$3:$A$1000),2,FALSE),"")</f>
        <v>#N/A</v>
      </c>
      <c r="CJ4" s="198" t="e">
        <f>IF(CJ2&lt;&gt;"",VLOOKUP(CJ$2,CHOOSE({1,2},'Name List'!$B$3:$B$1000,'Name List'!$A$3:$A$1000),2,FALSE),"")</f>
        <v>#N/A</v>
      </c>
      <c r="CK4" s="198" t="e">
        <f>IF(CK2&lt;&gt;"",VLOOKUP(CK$2,CHOOSE({1,2},'Name List'!$B$3:$B$1000,'Name List'!$A$3:$A$1000),2,FALSE),"")</f>
        <v>#N/A</v>
      </c>
      <c r="CL4" s="198" t="e">
        <f>IF(CL2&lt;&gt;"",VLOOKUP(CL$2,CHOOSE({1,2},'Name List'!$B$3:$B$1000,'Name List'!$A$3:$A$1000),2,FALSE),"")</f>
        <v>#N/A</v>
      </c>
      <c r="CM4" s="198" t="str">
        <f>IF(CM2&lt;&gt;"",VLOOKUP(CM$2,CHOOSE({1,2},'Name List'!$B$3:$B$1000,'Name List'!$A$3:$A$1000),2,FALSE),"")</f>
        <v>20210714</v>
      </c>
      <c r="CN4" s="198" t="e">
        <f>IF(CN2&lt;&gt;"",VLOOKUP(CN$2,CHOOSE({1,2},'Name List'!$B$3:$B$1000,'Name List'!$A$3:$A$1000),2,FALSE),"")</f>
        <v>#N/A</v>
      </c>
      <c r="CO4" s="198" t="str">
        <f>IF(CO2&lt;&gt;"",VLOOKUP(CO$2,CHOOSE({1,2},'Name List'!$B$3:$B$1000,'Name List'!$A$3:$A$1000),2,FALSE),"")</f>
        <v/>
      </c>
      <c r="CP4" s="198" t="str">
        <f>IF(CP2&lt;&gt;"",VLOOKUP(CP$2,CHOOSE({1,2},'Name List'!$B$3:$B$1000,'Name List'!$A$3:$A$1000),2,FALSE),"")</f>
        <v/>
      </c>
      <c r="CQ4" s="198" t="str">
        <f>IF(CQ2&lt;&gt;"",VLOOKUP(CQ$2,CHOOSE({1,2},'Name List'!$B$3:$B$1000,'Name List'!$A$3:$A$1000),2,FALSE),"")</f>
        <v/>
      </c>
      <c r="CR4" s="198" t="str">
        <f>IF(CR2&lt;&gt;"",VLOOKUP(CR$2,CHOOSE({1,2},'Name List'!$B$3:$B$1000,'Name List'!$A$3:$A$1000),2,FALSE),"")</f>
        <v/>
      </c>
      <c r="CS4" s="198" t="str">
        <f>IF(CS2&lt;&gt;"",VLOOKUP(CS$2,CHOOSE({1,2},'Name List'!$B$3:$B$1000,'Name List'!$A$3:$A$1000),2,FALSE),"")</f>
        <v/>
      </c>
      <c r="CT4" s="198" t="str">
        <f>IF(CT2&lt;&gt;"",VLOOKUP(CT$2,CHOOSE({1,2},'Name List'!$B$3:$B$1000,'Name List'!$A$3:$A$1000),2,FALSE),"")</f>
        <v/>
      </c>
      <c r="CU4" s="198" t="str">
        <f>IF(CU2&lt;&gt;"",VLOOKUP(CU$2,CHOOSE({1,2},'Name List'!$B$3:$B$1000,'Name List'!$A$3:$A$1000),2,FALSE),"")</f>
        <v/>
      </c>
      <c r="CV4" s="198" t="str">
        <f>IF(CV2&lt;&gt;"",VLOOKUP(CV$2,CHOOSE({1,2},'Name List'!$B$3:$B$1000,'Name List'!$A$3:$A$1000),2,FALSE),"")</f>
        <v/>
      </c>
      <c r="CW4" s="198" t="str">
        <f>IF(CW2&lt;&gt;"",VLOOKUP(CW$2,CHOOSE({1,2},'Name List'!$B$3:$B$1000,'Name List'!$A$3:$A$1000),2,FALSE),"")</f>
        <v/>
      </c>
      <c r="CX4" s="198" t="str">
        <f>IF(CX2&lt;&gt;"",VLOOKUP(CX$2,CHOOSE({1,2},'Name List'!$B$3:$B$1000,'Name List'!$A$3:$A$1000),2,FALSE),"")</f>
        <v/>
      </c>
      <c r="CY4" s="198" t="str">
        <f>IF(CY2&lt;&gt;"",VLOOKUP(CY$2,CHOOSE({1,2},'Name List'!$B$3:$B$1000,'Name List'!$A$3:$A$1000),2,FALSE),"")</f>
        <v/>
      </c>
      <c r="CZ4" s="198" t="str">
        <f>IF(CZ2&lt;&gt;"",VLOOKUP(CZ$2,CHOOSE({1,2},'Name List'!$B$3:$B$1000,'Name List'!$A$3:$A$1000),2,FALSE),"")</f>
        <v/>
      </c>
      <c r="DA4" s="198" t="str">
        <f>IF(DA2&lt;&gt;"",VLOOKUP(DA$2,CHOOSE({1,2},'Name List'!$B$3:$B$1000,'Name List'!$A$3:$A$1000),2,FALSE),"")</f>
        <v/>
      </c>
      <c r="DB4" s="198" t="str">
        <f>IF(DB2&lt;&gt;"",VLOOKUP(DB$2,CHOOSE({1,2},'Name List'!$B$3:$B$1000,'Name List'!$A$3:$A$1000),2,FALSE),"")</f>
        <v/>
      </c>
      <c r="DC4" s="198" t="str">
        <f>IF(DC2&lt;&gt;"",VLOOKUP(DC$2,CHOOSE({1,2},'Name List'!$B$3:$B$1000,'Name List'!$A$3:$A$1000),2,FALSE),"")</f>
        <v/>
      </c>
      <c r="DD4" s="198" t="str">
        <f>IF(DD2&lt;&gt;"",VLOOKUP(DD$2,CHOOSE({1,2},'Name List'!$B$3:$B$1000,'Name List'!$A$3:$A$1000),2,FALSE),"")</f>
        <v/>
      </c>
      <c r="DE4" s="198" t="str">
        <f>IF(DE2&lt;&gt;"",VLOOKUP(DE$2,CHOOSE({1,2},'Name List'!$B$3:$B$1000,'Name List'!$A$3:$A$1000),2,FALSE),"")</f>
        <v/>
      </c>
      <c r="DF4" s="198" t="str">
        <f>IF(DF2&lt;&gt;"",VLOOKUP(DF$2,CHOOSE({1,2},'Name List'!$B$3:$B$1000,'Name List'!$A$3:$A$1000),2,FALSE),"")</f>
        <v/>
      </c>
      <c r="DG4" s="198" t="str">
        <f>IF(DG2&lt;&gt;"",VLOOKUP(DG$2,CHOOSE({1,2},'Name List'!$B$3:$B$1000,'Name List'!$A$3:$A$1000),2,FALSE),"")</f>
        <v/>
      </c>
      <c r="DH4" s="198" t="str">
        <f>IF(DH2&lt;&gt;"",VLOOKUP(DH$2,CHOOSE({1,2},'Name List'!$B$3:$B$1000,'Name List'!$A$3:$A$1000),2,FALSE),"")</f>
        <v/>
      </c>
      <c r="DI4" s="198" t="str">
        <f>IF(DI2&lt;&gt;"",VLOOKUP(DI$2,CHOOSE({1,2},'Name List'!$B$3:$B$1000,'Name List'!$A$3:$A$1000),2,FALSE),"")</f>
        <v/>
      </c>
      <c r="DJ4" s="198" t="str">
        <f>IF(DJ2&lt;&gt;"",VLOOKUP(DJ$2,CHOOSE({1,2},'Name List'!$B$3:$B$1000,'Name List'!$A$3:$A$1000),2,FALSE),"")</f>
        <v/>
      </c>
      <c r="DK4" s="198" t="str">
        <f>IF(DK2&lt;&gt;"",VLOOKUP(DK$2,CHOOSE({1,2},'Name List'!$B$3:$B$1000,'Name List'!$A$3:$A$1000),2,FALSE),"")</f>
        <v/>
      </c>
      <c r="DL4" s="198" t="str">
        <f>IF(DL2&lt;&gt;"",VLOOKUP(DL$2,CHOOSE({1,2},'Name List'!$B$3:$B$1000,'Name List'!$A$3:$A$1000),2,FALSE),"")</f>
        <v/>
      </c>
      <c r="DM4" s="198" t="str">
        <f>IF(DM2&lt;&gt;"",VLOOKUP(DM$2,CHOOSE({1,2},'Name List'!$B$3:$B$1000,'Name List'!$A$3:$A$1000),2,FALSE),"")</f>
        <v/>
      </c>
      <c r="DN4" s="198" t="str">
        <f>IF(DN2&lt;&gt;"",VLOOKUP(DN$2,CHOOSE({1,2},'Name List'!$B$3:$B$1000,'Name List'!$A$3:$A$1000),2,FALSE),"")</f>
        <v/>
      </c>
      <c r="DO4" s="198" t="str">
        <f>IF(DO2&lt;&gt;"",VLOOKUP(DO$2,CHOOSE({1,2},'Name List'!$B$3:$B$1000,'Name List'!$A$3:$A$1000),2,FALSE),"")</f>
        <v/>
      </c>
      <c r="DP4" s="198" t="str">
        <f>IF(DP2&lt;&gt;"",VLOOKUP(DP$2,CHOOSE({1,2},'Name List'!$B$3:$B$1000,'Name List'!$A$3:$A$1000),2,FALSE),"")</f>
        <v/>
      </c>
      <c r="DQ4" s="198" t="str">
        <f>IF(DQ2&lt;&gt;"",VLOOKUP(DQ$2,CHOOSE({1,2},'Name List'!$B$3:$B$1000,'Name List'!$A$3:$A$1000),2,FALSE),"")</f>
        <v/>
      </c>
      <c r="DR4" s="198" t="str">
        <f>IF(DR2&lt;&gt;"",VLOOKUP(DR$2,CHOOSE({1,2},'Name List'!$B$3:$B$1000,'Name List'!$A$3:$A$1000),2,FALSE),"")</f>
        <v/>
      </c>
      <c r="DS4" s="198" t="str">
        <f>IF(DS2&lt;&gt;"",VLOOKUP(DS$2,CHOOSE({1,2},'Name List'!$B$3:$B$1000,'Name List'!$A$3:$A$1000),2,FALSE),"")</f>
        <v/>
      </c>
      <c r="DT4" s="198" t="str">
        <f>IF(DT2&lt;&gt;"",VLOOKUP(DT$2,CHOOSE({1,2},'Name List'!$B$3:$B$1000,'Name List'!$A$3:$A$1000),2,FALSE),"")</f>
        <v/>
      </c>
      <c r="DU4" s="198" t="str">
        <f>IF(DU2&lt;&gt;"",VLOOKUP(DU$2,CHOOSE({1,2},'Name List'!$B$3:$B$1000,'Name List'!$A$3:$A$1000),2,FALSE),"")</f>
        <v/>
      </c>
      <c r="DV4" s="198" t="str">
        <f>IF(DV2&lt;&gt;"",VLOOKUP(DV$2,CHOOSE({1,2},'Name List'!$B$3:$B$1000,'Name List'!$A$3:$A$1000),2,FALSE),"")</f>
        <v/>
      </c>
      <c r="DW4" s="198" t="str">
        <f>IF(DW2&lt;&gt;"",VLOOKUP(DW$2,CHOOSE({1,2},'Name List'!$B$3:$B$1000,'Name List'!$A$3:$A$1000),2,FALSE),"")</f>
        <v/>
      </c>
      <c r="DX4" s="198" t="str">
        <f>IF(DX2&lt;&gt;"",VLOOKUP(DX$2,CHOOSE({1,2},'Name List'!$B$3:$B$1000,'Name List'!$A$3:$A$1000),2,FALSE),"")</f>
        <v/>
      </c>
      <c r="DY4" s="198" t="str">
        <f>IF(DY2&lt;&gt;"",VLOOKUP(DY$2,CHOOSE({1,2},'Name List'!$B$3:$B$1000,'Name List'!$A$3:$A$1000),2,FALSE),"")</f>
        <v/>
      </c>
      <c r="DZ4" s="198" t="str">
        <f>IF(DZ2&lt;&gt;"",VLOOKUP(DZ$2,CHOOSE({1,2},'Name List'!$B$3:$B$1000,'Name List'!$A$3:$A$1000),2,FALSE),"")</f>
        <v/>
      </c>
      <c r="EA4" s="198" t="str">
        <f>IF(EA2&lt;&gt;"",VLOOKUP(EA$2,CHOOSE({1,2},'Name List'!$B$3:$B$1000,'Name List'!$A$3:$A$1000),2,FALSE),"")</f>
        <v/>
      </c>
      <c r="EB4" s="198" t="str">
        <f>IF(EB2&lt;&gt;"",VLOOKUP(EB$2,CHOOSE({1,2},'Name List'!$B$3:$B$1000,'Name List'!$A$3:$A$1000),2,FALSE),"")</f>
        <v/>
      </c>
      <c r="EC4" s="198" t="str">
        <f>IF(EC2&lt;&gt;"",VLOOKUP(EC$2,CHOOSE({1,2},'Name List'!$B$3:$B$1000,'Name List'!$A$3:$A$1000),2,FALSE),"")</f>
        <v/>
      </c>
      <c r="ED4" s="198" t="str">
        <f>IF(ED2&lt;&gt;"",VLOOKUP(ED$2,CHOOSE({1,2},'Name List'!$B$3:$B$1000,'Name List'!$A$3:$A$1000),2,FALSE),"")</f>
        <v/>
      </c>
      <c r="EE4" s="198" t="str">
        <f>IF(EE2&lt;&gt;"",VLOOKUP(EE$2,CHOOSE({1,2},'Name List'!$B$3:$B$1000,'Name List'!$A$3:$A$1000),2,FALSE),"")</f>
        <v/>
      </c>
      <c r="EF4" s="198" t="str">
        <f>IF(EF2&lt;&gt;"",VLOOKUP(EF$2,CHOOSE({1,2},'Name List'!$B$3:$B$1000,'Name List'!$A$3:$A$1000),2,FALSE),"")</f>
        <v/>
      </c>
      <c r="EG4" s="198" t="str">
        <f>IF(EG2&lt;&gt;"",VLOOKUP(EG$2,CHOOSE({1,2},'Name List'!$B$3:$B$1000,'Name List'!$A$3:$A$1000),2,FALSE),"")</f>
        <v/>
      </c>
      <c r="EH4" s="198" t="str">
        <f>IF(EH2&lt;&gt;"",VLOOKUP(EH$2,CHOOSE({1,2},'Name List'!$B$3:$B$1000,'Name List'!$A$3:$A$1000),2,FALSE),"")</f>
        <v/>
      </c>
      <c r="EI4" s="198" t="str">
        <f>IF(EI2&lt;&gt;"",VLOOKUP(EI$2,CHOOSE({1,2},'Name List'!$B$3:$B$1000,'Name List'!$A$3:$A$1000),2,FALSE),"")</f>
        <v/>
      </c>
      <c r="EJ4" s="198" t="str">
        <f>IF(EJ2&lt;&gt;"",VLOOKUP(EJ$2,CHOOSE({1,2},'Name List'!$B$3:$B$1000,'Name List'!$A$3:$A$1000),2,FALSE),"")</f>
        <v/>
      </c>
      <c r="EK4" s="198" t="str">
        <f>IF(EK2&lt;&gt;"",VLOOKUP(EK$2,CHOOSE({1,2},'Name List'!$B$3:$B$1000,'Name List'!$A$3:$A$1000),2,FALSE),"")</f>
        <v/>
      </c>
      <c r="EL4" s="198" t="str">
        <f>IF(EL2&lt;&gt;"",VLOOKUP(EL$2,CHOOSE({1,2},'Name List'!$B$3:$B$1000,'Name List'!$A$3:$A$1000),2,FALSE),"")</f>
        <v/>
      </c>
      <c r="EM4" s="198" t="str">
        <f>IF(EM2&lt;&gt;"",VLOOKUP(EM$2,CHOOSE({1,2},'Name List'!$B$3:$B$1000,'Name List'!$A$3:$A$1000),2,FALSE),"")</f>
        <v/>
      </c>
      <c r="EN4" s="198" t="str">
        <f>IF(EN2&lt;&gt;"",VLOOKUP(EN$2,CHOOSE({1,2},'Name List'!$B$3:$B$1000,'Name List'!$A$3:$A$1000),2,FALSE),"")</f>
        <v/>
      </c>
      <c r="EO4" s="198" t="str">
        <f>IF(EO2&lt;&gt;"",VLOOKUP(EO$2,CHOOSE({1,2},'Name List'!$B$3:$B$1000,'Name List'!$A$3:$A$1000),2,FALSE),"")</f>
        <v/>
      </c>
      <c r="EP4" s="198" t="str">
        <f>IF(EP2&lt;&gt;"",VLOOKUP(EP$2,CHOOSE({1,2},'Name List'!$B$3:$B$1000,'Name List'!$A$3:$A$1000),2,FALSE),"")</f>
        <v/>
      </c>
      <c r="EQ4" s="198" t="str">
        <f>IF(EQ2&lt;&gt;"",VLOOKUP(EQ$2,CHOOSE({1,2},'Name List'!$B$3:$B$1000,'Name List'!$A$3:$A$1000),2,FALSE),"")</f>
        <v/>
      </c>
      <c r="ER4" s="198" t="str">
        <f>IF(ER2&lt;&gt;"",VLOOKUP(ER$2,CHOOSE({1,2},'Name List'!$B$3:$B$1000,'Name List'!$A$3:$A$1000),2,FALSE),"")</f>
        <v/>
      </c>
      <c r="ES4" s="198" t="str">
        <f>IF(ES2&lt;&gt;"",VLOOKUP(ES$2,CHOOSE({1,2},'Name List'!$B$3:$B$1000,'Name List'!$A$3:$A$1000),2,FALSE),"")</f>
        <v/>
      </c>
      <c r="ET4" s="198" t="str">
        <f>IF(ET2&lt;&gt;"",VLOOKUP(ET$2,CHOOSE({1,2},'Name List'!$B$3:$B$1000,'Name List'!$A$3:$A$1000),2,FALSE),"")</f>
        <v/>
      </c>
      <c r="EU4" s="198" t="str">
        <f>IF(EU2&lt;&gt;"",VLOOKUP(EU$2,CHOOSE({1,2},'Name List'!$B$3:$B$1000,'Name List'!$A$3:$A$1000),2,FALSE),"")</f>
        <v/>
      </c>
      <c r="EV4" s="198" t="str">
        <f>IF(EV2&lt;&gt;"",VLOOKUP(EV$2,CHOOSE({1,2},'Name List'!$B$3:$B$1000,'Name List'!$A$3:$A$1000),2,FALSE),"")</f>
        <v/>
      </c>
      <c r="EW4" s="198" t="str">
        <f>IF(EW2&lt;&gt;"",VLOOKUP(EW$2,CHOOSE({1,2},'Name List'!$B$3:$B$1000,'Name List'!$A$3:$A$1000),2,FALSE),"")</f>
        <v/>
      </c>
      <c r="EX4" s="198" t="str">
        <f>IF(EX2&lt;&gt;"",VLOOKUP(EX$2,CHOOSE({1,2},'Name List'!$B$3:$B$1000,'Name List'!$A$3:$A$1000),2,FALSE),"")</f>
        <v/>
      </c>
      <c r="EY4" s="198" t="str">
        <f>IF(EY2&lt;&gt;"",VLOOKUP(EY$2,CHOOSE({1,2},'Name List'!$B$3:$B$1000,'Name List'!$A$3:$A$1000),2,FALSE),"")</f>
        <v/>
      </c>
      <c r="EZ4" s="198" t="str">
        <f>IF(EZ2&lt;&gt;"",VLOOKUP(EZ$2,CHOOSE({1,2},'Name List'!$B$3:$B$1000,'Name List'!$A$3:$A$1000),2,FALSE),"")</f>
        <v/>
      </c>
      <c r="FA4" s="198" t="str">
        <f>IF(FA2&lt;&gt;"",VLOOKUP(FA$2,CHOOSE({1,2},'Name List'!$B$3:$B$1000,'Name List'!$A$3:$A$1000),2,FALSE),"")</f>
        <v/>
      </c>
      <c r="FB4" s="198" t="str">
        <f>IF(FB2&lt;&gt;"",VLOOKUP(FB$2,CHOOSE({1,2},'Name List'!$B$3:$B$1000,'Name List'!$A$3:$A$1000),2,FALSE),"")</f>
        <v/>
      </c>
      <c r="FC4" s="198" t="str">
        <f>IF(FC2&lt;&gt;"",VLOOKUP(FC$2,CHOOSE({1,2},'Name List'!$B$3:$B$1000,'Name List'!$A$3:$A$1000),2,FALSE),"")</f>
        <v/>
      </c>
      <c r="FD4" s="198" t="str">
        <f>IF(FD2&lt;&gt;"",VLOOKUP(FD$2,CHOOSE({1,2},'Name List'!$B$3:$B$1000,'Name List'!$A$3:$A$1000),2,FALSE),"")</f>
        <v/>
      </c>
      <c r="FE4" s="198" t="str">
        <f>IF(FE2&lt;&gt;"",VLOOKUP(FE$2,CHOOSE({1,2},'Name List'!$B$3:$B$1000,'Name List'!$A$3:$A$1000),2,FALSE),"")</f>
        <v/>
      </c>
      <c r="FF4" s="198" t="str">
        <f>IF(FF2&lt;&gt;"",VLOOKUP(FF$2,CHOOSE({1,2},'Name List'!$B$3:$B$1000,'Name List'!$A$3:$A$1000),2,FALSE),"")</f>
        <v/>
      </c>
      <c r="FG4" s="198" t="str">
        <f>IF(FG2&lt;&gt;"",VLOOKUP(FG$2,CHOOSE({1,2},'Name List'!$B$3:$B$1000,'Name List'!$A$3:$A$1000),2,FALSE),"")</f>
        <v/>
      </c>
      <c r="FH4" s="198" t="str">
        <f>IF(FH2&lt;&gt;"",VLOOKUP(FH$2,CHOOSE({1,2},'Name List'!$B$3:$B$1000,'Name List'!$A$3:$A$1000),2,FALSE),"")</f>
        <v/>
      </c>
      <c r="FI4" s="198" t="str">
        <f>IF(FI2&lt;&gt;"",VLOOKUP(FI$2,CHOOSE({1,2},'Name List'!$B$3:$B$1000,'Name List'!$A$3:$A$1000),2,FALSE),"")</f>
        <v/>
      </c>
      <c r="FJ4" s="198" t="str">
        <f>IF(FJ2&lt;&gt;"",VLOOKUP(FJ$2,CHOOSE({1,2},'Name List'!$B$3:$B$1000,'Name List'!$A$3:$A$1000),2,FALSE),"")</f>
        <v/>
      </c>
      <c r="FK4" s="198" t="str">
        <f>IF(FK2&lt;&gt;"",VLOOKUP(FK$2,CHOOSE({1,2},'Name List'!$B$3:$B$1000,'Name List'!$A$3:$A$1000),2,FALSE),"")</f>
        <v/>
      </c>
      <c r="FL4" s="198" t="str">
        <f>IF(FL2&lt;&gt;"",VLOOKUP(FL$2,CHOOSE({1,2},'Name List'!$B$3:$B$1000,'Name List'!$A$3:$A$1000),2,FALSE),"")</f>
        <v/>
      </c>
      <c r="FM4" s="198" t="str">
        <f>IF(FM2&lt;&gt;"",VLOOKUP(FM$2,CHOOSE({1,2},'Name List'!$B$3:$B$1000,'Name List'!$A$3:$A$1000),2,FALSE),"")</f>
        <v/>
      </c>
      <c r="FN4" s="198" t="str">
        <f>IF(FN2&lt;&gt;"",VLOOKUP(FN$2,CHOOSE({1,2},'Name List'!$B$3:$B$1000,'Name List'!$A$3:$A$1000),2,FALSE),"")</f>
        <v/>
      </c>
      <c r="FO4" s="198" t="str">
        <f>IF(FO2&lt;&gt;"",VLOOKUP(FO$2,CHOOSE({1,2},'Name List'!$B$3:$B$1000,'Name List'!$A$3:$A$1000),2,FALSE),"")</f>
        <v/>
      </c>
      <c r="FP4" s="198" t="str">
        <f>IF(FP2&lt;&gt;"",VLOOKUP(FP$2,CHOOSE({1,2},'Name List'!$B$3:$B$1000,'Name List'!$A$3:$A$1000),2,FALSE),"")</f>
        <v/>
      </c>
      <c r="FQ4" s="198" t="str">
        <f>IF(FQ2&lt;&gt;"",VLOOKUP(FQ$2,CHOOSE({1,2},'Name List'!$B$3:$B$1000,'Name List'!$A$3:$A$1000),2,FALSE),"")</f>
        <v/>
      </c>
      <c r="FR4" s="198" t="str">
        <f>IF(FR2&lt;&gt;"",VLOOKUP(FR$2,CHOOSE({1,2},'Name List'!$B$3:$B$1000,'Name List'!$A$3:$A$1000),2,FALSE),"")</f>
        <v/>
      </c>
      <c r="FS4" s="198" t="str">
        <f>IF(FS2&lt;&gt;"",VLOOKUP(FS$2,CHOOSE({1,2},'Name List'!$B$3:$B$1000,'Name List'!$A$3:$A$1000),2,FALSE),"")</f>
        <v/>
      </c>
      <c r="FT4" s="198" t="str">
        <f>IF(FT2&lt;&gt;"",VLOOKUP(FT$2,CHOOSE({1,2},'Name List'!$B$3:$B$1000,'Name List'!$A$3:$A$1000),2,FALSE),"")</f>
        <v/>
      </c>
      <c r="FU4" s="198" t="str">
        <f>IF(FU2&lt;&gt;"",VLOOKUP(FU$2,CHOOSE({1,2},'Name List'!$B$3:$B$1000,'Name List'!$A$3:$A$1000),2,FALSE),"")</f>
        <v/>
      </c>
      <c r="FV4" s="198" t="str">
        <f>IF(FV2&lt;&gt;"",VLOOKUP(FV$2,CHOOSE({1,2},'Name List'!$B$3:$B$1000,'Name List'!$A$3:$A$1000),2,FALSE),"")</f>
        <v/>
      </c>
      <c r="FW4" s="198" t="str">
        <f>IF(FW2&lt;&gt;"",VLOOKUP(FW$2,CHOOSE({1,2},'Name List'!$B$3:$B$1000,'Name List'!$A$3:$A$1000),2,FALSE),"")</f>
        <v/>
      </c>
      <c r="FX4" s="198" t="str">
        <f>IF(FX2&lt;&gt;"",VLOOKUP(FX$2,CHOOSE({1,2},'Name List'!$B$3:$B$1000,'Name List'!$A$3:$A$1000),2,FALSE),"")</f>
        <v/>
      </c>
      <c r="FY4" s="198" t="str">
        <f>IF(FY2&lt;&gt;"",VLOOKUP(FY$2,CHOOSE({1,2},'Name List'!$B$3:$B$1000,'Name List'!$A$3:$A$1000),2,FALSE),"")</f>
        <v/>
      </c>
      <c r="FZ4" s="198" t="str">
        <f>IF(FZ2&lt;&gt;"",VLOOKUP(FZ$2,CHOOSE({1,2},'Name List'!$B$3:$B$1000,'Name List'!$A$3:$A$1000),2,FALSE),"")</f>
        <v/>
      </c>
      <c r="GA4" s="198" t="str">
        <f>IF(GA2&lt;&gt;"",VLOOKUP(GA$2,CHOOSE({1,2},'Name List'!$B$3:$B$1000,'Name List'!$A$3:$A$1000),2,FALSE),"")</f>
        <v/>
      </c>
      <c r="GB4" s="198" t="str">
        <f>IF(GB2&lt;&gt;"",VLOOKUP(GB$2,CHOOSE({1,2},'Name List'!$B$3:$B$1000,'Name List'!$A$3:$A$1000),2,FALSE),"")</f>
        <v/>
      </c>
      <c r="GC4" s="198" t="str">
        <f>IF(GC2&lt;&gt;"",VLOOKUP(GC$2,CHOOSE({1,2},'Name List'!$B$3:$B$1000,'Name List'!$A$3:$A$1000),2,FALSE),"")</f>
        <v/>
      </c>
      <c r="GD4" s="198" t="str">
        <f>IF(GD2&lt;&gt;"",VLOOKUP(GD$2,CHOOSE({1,2},'Name List'!$B$3:$B$1000,'Name List'!$A$3:$A$1000),2,FALSE),"")</f>
        <v/>
      </c>
      <c r="GE4" s="198" t="str">
        <f>IF(GE2&lt;&gt;"",VLOOKUP(GE$2,CHOOSE({1,2},'Name List'!$B$3:$B$1000,'Name List'!$A$3:$A$1000),2,FALSE),"")</f>
        <v/>
      </c>
      <c r="GF4" s="198" t="str">
        <f>IF(GF2&lt;&gt;"",VLOOKUP(GF$2,CHOOSE({1,2},'Name List'!$B$3:$B$1000,'Name List'!$A$3:$A$1000),2,FALSE),"")</f>
        <v/>
      </c>
      <c r="GG4" s="198" t="str">
        <f>IF(GG2&lt;&gt;"",VLOOKUP(GG$2,CHOOSE({1,2},'Name List'!$B$3:$B$1000,'Name List'!$A$3:$A$1000),2,FALSE),"")</f>
        <v/>
      </c>
      <c r="GH4" s="198" t="str">
        <f>IF(GH2&lt;&gt;"",VLOOKUP(GH$2,CHOOSE({1,2},'Name List'!$B$3:$B$1000,'Name List'!$A$3:$A$1000),2,FALSE),"")</f>
        <v/>
      </c>
      <c r="GI4" s="198" t="str">
        <f>IF(GI2&lt;&gt;"",VLOOKUP(GI$2,CHOOSE({1,2},'Name List'!$B$3:$B$1000,'Name List'!$A$3:$A$1000),2,FALSE),"")</f>
        <v/>
      </c>
      <c r="GJ4" s="198" t="str">
        <f>IF(GJ2&lt;&gt;"",VLOOKUP(GJ$2,CHOOSE({1,2},'Name List'!$B$3:$B$1000,'Name List'!$A$3:$A$1000),2,FALSE),"")</f>
        <v/>
      </c>
      <c r="GK4" s="198" t="str">
        <f>IF(GK2&lt;&gt;"",VLOOKUP(GK$2,CHOOSE({1,2},'Name List'!$B$3:$B$1000,'Name List'!$A$3:$A$1000),2,FALSE),"")</f>
        <v/>
      </c>
      <c r="GL4" s="198" t="str">
        <f>IF(GL2&lt;&gt;"",VLOOKUP(GL$2,CHOOSE({1,2},'Name List'!$B$3:$B$1000,'Name List'!$A$3:$A$1000),2,FALSE),"")</f>
        <v/>
      </c>
      <c r="GM4" s="198" t="str">
        <f>IF(GM2&lt;&gt;"",VLOOKUP(GM$2,CHOOSE({1,2},'Name List'!$B$3:$B$1000,'Name List'!$A$3:$A$1000),2,FALSE),"")</f>
        <v/>
      </c>
      <c r="GN4" s="198" t="str">
        <f>IF(GN2&lt;&gt;"",VLOOKUP(GN$2,CHOOSE({1,2},'Name List'!$B$3:$B$1000,'Name List'!$A$3:$A$1000),2,FALSE),"")</f>
        <v/>
      </c>
      <c r="GO4" s="198" t="str">
        <f>IF(GO2&lt;&gt;"",VLOOKUP(GO$2,CHOOSE({1,2},'Name List'!$B$3:$B$1000,'Name List'!$A$3:$A$1000),2,FALSE),"")</f>
        <v/>
      </c>
      <c r="GP4" s="198" t="str">
        <f>IF(GP2&lt;&gt;"",VLOOKUP(GP$2,CHOOSE({1,2},'Name List'!$B$3:$B$1000,'Name List'!$A$3:$A$1000),2,FALSE),"")</f>
        <v/>
      </c>
      <c r="GQ4" s="198" t="str">
        <f>IF(GQ2&lt;&gt;"",VLOOKUP(GQ$2,CHOOSE({1,2},'Name List'!$B$3:$B$1000,'Name List'!$A$3:$A$1000),2,FALSE),"")</f>
        <v/>
      </c>
      <c r="GR4" s="198" t="str">
        <f>IF(GR2&lt;&gt;"",VLOOKUP(GR$2,CHOOSE({1,2},'Name List'!$B$3:$B$1000,'Name List'!$A$3:$A$1000),2,FALSE),"")</f>
        <v/>
      </c>
      <c r="GS4" s="198" t="str">
        <f>IF(GS2&lt;&gt;"",VLOOKUP(GS$2,CHOOSE({1,2},'Name List'!$B$3:$B$1000,'Name List'!$A$3:$A$1000),2,FALSE),"")</f>
        <v/>
      </c>
      <c r="GT4" s="198" t="str">
        <f>IF(GT2&lt;&gt;"",VLOOKUP(GT$2,CHOOSE({1,2},'Name List'!$B$3:$B$1000,'Name List'!$A$3:$A$1000),2,FALSE),"")</f>
        <v/>
      </c>
      <c r="GU4" s="198" t="str">
        <f>IF(GU2&lt;&gt;"",VLOOKUP(GU$2,CHOOSE({1,2},'Name List'!$B$3:$B$1000,'Name List'!$A$3:$A$1000),2,FALSE),"")</f>
        <v/>
      </c>
      <c r="GV4" s="198" t="str">
        <f>IF(GV2&lt;&gt;"",VLOOKUP(GV$2,CHOOSE({1,2},'Name List'!$B$3:$B$1000,'Name List'!$A$3:$A$1000),2,FALSE),"")</f>
        <v/>
      </c>
      <c r="GW4" s="198" t="str">
        <f>IF(GW2&lt;&gt;"",VLOOKUP(GW$2,CHOOSE({1,2},'Name List'!$B$3:$B$1000,'Name List'!$A$3:$A$1000),2,FALSE),"")</f>
        <v/>
      </c>
      <c r="GX4" s="198" t="str">
        <f>IF(GX2&lt;&gt;"",VLOOKUP(GX$2,CHOOSE({1,2},'Name List'!$B$3:$B$1000,'Name List'!$A$3:$A$1000),2,FALSE),"")</f>
        <v/>
      </c>
      <c r="GY4" s="198" t="str">
        <f>IF(GY2&lt;&gt;"",VLOOKUP(GY$2,CHOOSE({1,2},'Name List'!$B$3:$B$1000,'Name List'!$A$3:$A$1000),2,FALSE),"")</f>
        <v/>
      </c>
      <c r="GZ4" s="198" t="str">
        <f>IF(GZ2&lt;&gt;"",VLOOKUP(GZ$2,CHOOSE({1,2},'Name List'!$B$3:$B$1000,'Name List'!$A$3:$A$1000),2,FALSE),"")</f>
        <v/>
      </c>
      <c r="HA4" s="198" t="str">
        <f>IF(HA2&lt;&gt;"",VLOOKUP(HA$2,CHOOSE({1,2},'Name List'!$B$3:$B$1000,'Name List'!$A$3:$A$1000),2,FALSE),"")</f>
        <v/>
      </c>
      <c r="HB4" s="198" t="str">
        <f>IF(HB2&lt;&gt;"",VLOOKUP(HB$2,CHOOSE({1,2},'Name List'!$B$3:$B$1000,'Name List'!$A$3:$A$1000),2,FALSE),"")</f>
        <v/>
      </c>
      <c r="HC4" s="198" t="str">
        <f>IF(HC2&lt;&gt;"",VLOOKUP(HC$2,CHOOSE({1,2},'Name List'!$B$3:$B$1000,'Name List'!$A$3:$A$1000),2,FALSE),"")</f>
        <v/>
      </c>
      <c r="HD4" s="198" t="str">
        <f>IF(HD2&lt;&gt;"",VLOOKUP(HD$2,CHOOSE({1,2},'Name List'!$B$3:$B$1000,'Name List'!$A$3:$A$1000),2,FALSE),"")</f>
        <v/>
      </c>
      <c r="HE4" s="198" t="str">
        <f>IF(HE2&lt;&gt;"",VLOOKUP(HE$2,CHOOSE({1,2},'Name List'!$B$3:$B$1000,'Name List'!$A$3:$A$1000),2,FALSE),"")</f>
        <v/>
      </c>
      <c r="HF4" s="198" t="str">
        <f>IF(HF2&lt;&gt;"",VLOOKUP(HF$2,CHOOSE({1,2},'Name List'!$B$3:$B$1000,'Name List'!$A$3:$A$1000),2,FALSE),"")</f>
        <v/>
      </c>
      <c r="HG4" s="198" t="str">
        <f>IF(HG2&lt;&gt;"",VLOOKUP(HG$2,CHOOSE({1,2},'Name List'!$B$3:$B$1000,'Name List'!$A$3:$A$1000),2,FALSE),"")</f>
        <v/>
      </c>
      <c r="HH4" s="198" t="str">
        <f>IF(HH2&lt;&gt;"",VLOOKUP(HH$2,CHOOSE({1,2},'Name List'!$B$3:$B$1000,'Name List'!$A$3:$A$1000),2,FALSE),"")</f>
        <v/>
      </c>
      <c r="HI4" s="198" t="str">
        <f>IF(HI2&lt;&gt;"",VLOOKUP(HI$2,CHOOSE({1,2},'Name List'!$B$3:$B$1000,'Name List'!$A$3:$A$1000),2,FALSE),"")</f>
        <v/>
      </c>
      <c r="HJ4" s="198" t="str">
        <f>IF(HJ2&lt;&gt;"",VLOOKUP(HJ$2,CHOOSE({1,2},'Name List'!$B$3:$B$1000,'Name List'!$A$3:$A$1000),2,FALSE),"")</f>
        <v/>
      </c>
      <c r="HK4" s="198" t="str">
        <f>IF(HK2&lt;&gt;"",VLOOKUP(HK$2,CHOOSE({1,2},'Name List'!$B$3:$B$1000,'Name List'!$A$3:$A$1000),2,FALSE),"")</f>
        <v/>
      </c>
      <c r="HL4" s="198" t="str">
        <f>IF(HL2&lt;&gt;"",VLOOKUP(HL$2,CHOOSE({1,2},'Name List'!$B$3:$B$1000,'Name List'!$A$3:$A$1000),2,FALSE),"")</f>
        <v/>
      </c>
      <c r="HM4" s="198" t="str">
        <f>IF(HM2&lt;&gt;"",VLOOKUP(HM$2,CHOOSE({1,2},'Name List'!$B$3:$B$1000,'Name List'!$A$3:$A$1000),2,FALSE),"")</f>
        <v/>
      </c>
      <c r="HN4" s="198" t="str">
        <f>IF(HN2&lt;&gt;"",VLOOKUP(HN$2,CHOOSE({1,2},'Name List'!$B$3:$B$1000,'Name List'!$A$3:$A$1000),2,FALSE),"")</f>
        <v/>
      </c>
    </row>
    <row r="5" spans="1:222" s="199" customFormat="1" ht="20.100000000000001" customHeight="1" thickBot="1" x14ac:dyDescent="0.35">
      <c r="B5" s="200" t="s">
        <v>8</v>
      </c>
      <c r="C5" s="201" t="e">
        <f>IF(C2&lt;&gt;"",VLOOKUP(C$2,CHOOSE({1,2},'Name List'!$B$3:$B$1000,'Name List'!#REF!),2,FALSE),"")</f>
        <v>#N/A</v>
      </c>
      <c r="D5" s="201" t="e">
        <f>IF(D2&lt;&gt;"",VLOOKUP(D$2,CHOOSE({1,2},'Name List'!$B$3:$B$1000,'Name List'!#REF!),2,FALSE),"")</f>
        <v>#REF!</v>
      </c>
      <c r="E5" s="201" t="e">
        <f>IF(E2&lt;&gt;"",VLOOKUP(E$2,CHOOSE({1,2},'Name List'!$B$3:$B$1000,'Name List'!#REF!),2,FALSE),"")</f>
        <v>#REF!</v>
      </c>
      <c r="F5" s="201" t="e">
        <f>IF(F2&lt;&gt;"",VLOOKUP(F$2,CHOOSE({1,2},'Name List'!$B$3:$B$1000,'Name List'!#REF!),2,FALSE),"")</f>
        <v>#N/A</v>
      </c>
      <c r="G5" s="201" t="e">
        <f>IF(G2&lt;&gt;"",VLOOKUP(G$2,CHOOSE({1,2},'Name List'!$B$3:$B$1000,'Name List'!#REF!),2,FALSE),"")</f>
        <v>#REF!</v>
      </c>
      <c r="H5" s="201" t="e">
        <f>IF(H2&lt;&gt;"",VLOOKUP(H$2,CHOOSE({1,2},'Name List'!$B$3:$B$1000,'Name List'!#REF!),2,FALSE),"")</f>
        <v>#REF!</v>
      </c>
      <c r="I5" s="201" t="e">
        <f>IF(I2&lt;&gt;"",VLOOKUP(I$2,CHOOSE({1,2},'Name List'!$B$3:$B$1000,'Name List'!#REF!),2,FALSE),"")</f>
        <v>#REF!</v>
      </c>
      <c r="J5" s="201" t="e">
        <f>IF(J2&lt;&gt;"",VLOOKUP(J$2,CHOOSE({1,2},'Name List'!$B$3:$B$1000,'Name List'!#REF!),2,FALSE),"")</f>
        <v>#REF!</v>
      </c>
      <c r="K5" s="201" t="e">
        <f>IF(K2&lt;&gt;"",VLOOKUP(K$2,CHOOSE({1,2},'Name List'!$B$3:$B$1000,'Name List'!#REF!),2,FALSE),"")</f>
        <v>#REF!</v>
      </c>
      <c r="L5" s="201" t="e">
        <f>IF(L2&lt;&gt;"",VLOOKUP(L$2,CHOOSE({1,2},'Name List'!$B$3:$B$1000,'Name List'!#REF!),2,FALSE),"")</f>
        <v>#N/A</v>
      </c>
      <c r="M5" s="201" t="e">
        <f>IF(M2&lt;&gt;"",VLOOKUP(M$2,CHOOSE({1,2},'Name List'!$B$3:$B$1000,'Name List'!#REF!),2,FALSE),"")</f>
        <v>#N/A</v>
      </c>
      <c r="N5" s="201" t="e">
        <f>IF(N2&lt;&gt;"",VLOOKUP(N$2,CHOOSE({1,2},'Name List'!$B$3:$B$1000,'Name List'!#REF!),2,FALSE),"")</f>
        <v>#REF!</v>
      </c>
      <c r="O5" s="201" t="e">
        <f>IF(O2&lt;&gt;"",VLOOKUP(O$2,CHOOSE({1,2},'Name List'!$B$3:$B$1000,'Name List'!#REF!),2,FALSE),"")</f>
        <v>#N/A</v>
      </c>
      <c r="P5" s="201" t="e">
        <f>IF(P2&lt;&gt;"",VLOOKUP(P$2,CHOOSE({1,2},'Name List'!$B$3:$B$1000,'Name List'!#REF!),2,FALSE),"")</f>
        <v>#N/A</v>
      </c>
      <c r="Q5" s="201" t="e">
        <f>IF(Q2&lt;&gt;"",VLOOKUP(Q$2,CHOOSE({1,2},'Name List'!$B$3:$B$1000,'Name List'!#REF!),2,FALSE),"")</f>
        <v>#REF!</v>
      </c>
      <c r="R5" s="201" t="e">
        <f>IF(R2&lt;&gt;"",VLOOKUP(R$2,CHOOSE({1,2},'Name List'!$B$3:$B$1000,'Name List'!#REF!),2,FALSE),"")</f>
        <v>#N/A</v>
      </c>
      <c r="S5" s="201" t="e">
        <f>IF(S2&lt;&gt;"",VLOOKUP(S$2,CHOOSE({1,2},'Name List'!$B$3:$B$1000,'Name List'!#REF!),2,FALSE),"")</f>
        <v>#REF!</v>
      </c>
      <c r="T5" s="201" t="e">
        <f>IF(T2&lt;&gt;"",VLOOKUP(T$2,CHOOSE({1,2},'Name List'!$B$3:$B$1000,'Name List'!#REF!),2,FALSE),"")</f>
        <v>#N/A</v>
      </c>
      <c r="U5" s="201" t="e">
        <f>IF(U2&lt;&gt;"",VLOOKUP(U$2,CHOOSE({1,2},'Name List'!$B$3:$B$1000,'Name List'!#REF!),2,FALSE),"")</f>
        <v>#REF!</v>
      </c>
      <c r="V5" s="201" t="e">
        <f>IF(V2&lt;&gt;"",VLOOKUP(V$2,CHOOSE({1,2},'Name List'!$B$3:$B$1000,'Name List'!#REF!),2,FALSE),"")</f>
        <v>#REF!</v>
      </c>
      <c r="W5" s="201" t="e">
        <f>IF(W2&lt;&gt;"",VLOOKUP(W$2,CHOOSE({1,2},'Name List'!$B$3:$B$1000,'Name List'!#REF!),2,FALSE),"")</f>
        <v>#REF!</v>
      </c>
      <c r="X5" s="201" t="e">
        <f>IF(X2&lt;&gt;"",VLOOKUP(X$2,CHOOSE({1,2},'Name List'!$B$3:$B$1000,'Name List'!#REF!),2,FALSE),"")</f>
        <v>#REF!</v>
      </c>
      <c r="Y5" s="201" t="e">
        <f>IF(Y2&lt;&gt;"",VLOOKUP(Y$2,CHOOSE({1,2},'Name List'!$B$3:$B$1000,'Name List'!#REF!),2,FALSE),"")</f>
        <v>#N/A</v>
      </c>
      <c r="Z5" s="201" t="e">
        <f>IF(Z2&lt;&gt;"",VLOOKUP(Z$2,CHOOSE({1,2},'Name List'!$B$3:$B$1000,'Name List'!#REF!),2,FALSE),"")</f>
        <v>#N/A</v>
      </c>
      <c r="AA5" s="201" t="e">
        <f>IF(AA2&lt;&gt;"",VLOOKUP(AA$2,CHOOSE({1,2},'Name List'!$B$3:$B$1000,'Name List'!#REF!),2,FALSE),"")</f>
        <v>#N/A</v>
      </c>
      <c r="AB5" s="201" t="e">
        <f>IF(AB2&lt;&gt;"",VLOOKUP(AB$2,CHOOSE({1,2},'Name List'!$B$3:$B$1000,'Name List'!#REF!),2,FALSE),"")</f>
        <v>#N/A</v>
      </c>
      <c r="AC5" s="201" t="e">
        <f>IF(AC2&lt;&gt;"",VLOOKUP(AC$2,CHOOSE({1,2},'Name List'!$B$3:$B$1000,'Name List'!#REF!),2,FALSE),"")</f>
        <v>#REF!</v>
      </c>
      <c r="AD5" s="201" t="e">
        <f>IF(AD2&lt;&gt;"",VLOOKUP(AD$2,CHOOSE({1,2},'Name List'!$B$3:$B$1000,'Name List'!#REF!),2,FALSE),"")</f>
        <v>#REF!</v>
      </c>
      <c r="AE5" s="201" t="e">
        <f>IF(AE2&lt;&gt;"",VLOOKUP(AE$2,CHOOSE({1,2},'Name List'!$B$3:$B$1000,'Name List'!#REF!),2,FALSE),"")</f>
        <v>#N/A</v>
      </c>
      <c r="AF5" s="201" t="e">
        <f>IF(AF2&lt;&gt;"",VLOOKUP(AF$2,CHOOSE({1,2},'Name List'!$B$3:$B$1000,'Name List'!#REF!),2,FALSE),"")</f>
        <v>#N/A</v>
      </c>
      <c r="AG5" s="201" t="e">
        <f>IF(AG2&lt;&gt;"",VLOOKUP(AG$2,CHOOSE({1,2},'Name List'!$B$3:$B$1000,'Name List'!#REF!),2,FALSE),"")</f>
        <v>#N/A</v>
      </c>
      <c r="AH5" s="201" t="e">
        <f>IF(AH2&lt;&gt;"",VLOOKUP(AH$2,CHOOSE({1,2},'Name List'!$B$3:$B$1000,'Name List'!#REF!),2,FALSE),"")</f>
        <v>#N/A</v>
      </c>
      <c r="AI5" s="201" t="e">
        <f>IF(AI2&lt;&gt;"",VLOOKUP(AI$2,CHOOSE({1,2},'Name List'!$B$3:$B$1000,'Name List'!#REF!),2,FALSE),"")</f>
        <v>#REF!</v>
      </c>
      <c r="AJ5" s="201" t="e">
        <f>IF(AJ2&lt;&gt;"",VLOOKUP(AJ$2,CHOOSE({1,2},'Name List'!$B$3:$B$1000,'Name List'!#REF!),2,FALSE),"")</f>
        <v>#N/A</v>
      </c>
      <c r="AK5" s="201" t="e">
        <f>IF(AK2&lt;&gt;"",VLOOKUP(AK$2,CHOOSE({1,2},'Name List'!$B$3:$B$1000,'Name List'!#REF!),2,FALSE),"")</f>
        <v>#REF!</v>
      </c>
      <c r="AL5" s="201" t="e">
        <f>IF(AL2&lt;&gt;"",VLOOKUP(AL$2,CHOOSE({1,2},'Name List'!$B$3:$B$1000,'Name List'!#REF!),2,FALSE),"")</f>
        <v>#REF!</v>
      </c>
      <c r="AM5" s="201" t="e">
        <f>IF(AM2&lt;&gt;"",VLOOKUP(AM$2,CHOOSE({1,2},'Name List'!$B$3:$B$1000,'Name List'!#REF!),2,FALSE),"")</f>
        <v>#REF!</v>
      </c>
      <c r="AN5" s="201" t="e">
        <f>IF(AN2&lt;&gt;"",VLOOKUP(AN$2,CHOOSE({1,2},'Name List'!$B$3:$B$1000,'Name List'!#REF!),2,FALSE),"")</f>
        <v>#REF!</v>
      </c>
      <c r="AO5" s="201" t="e">
        <f>IF(AO2&lt;&gt;"",VLOOKUP(AO$2,CHOOSE({1,2},'Name List'!$B$3:$B$1000,'Name List'!#REF!),2,FALSE),"")</f>
        <v>#REF!</v>
      </c>
      <c r="AP5" s="201" t="e">
        <f>IF(AP2&lt;&gt;"",VLOOKUP(AP$2,CHOOSE({1,2},'Name List'!$B$3:$B$1000,'Name List'!#REF!),2,FALSE),"")</f>
        <v>#REF!</v>
      </c>
      <c r="AQ5" s="201" t="e">
        <f>IF(AQ2&lt;&gt;"",VLOOKUP(AQ$2,CHOOSE({1,2},'Name List'!$B$3:$B$1000,'Name List'!#REF!),2,FALSE),"")</f>
        <v>#REF!</v>
      </c>
      <c r="AR5" s="201" t="e">
        <f>IF(AR2&lt;&gt;"",VLOOKUP(AR$2,CHOOSE({1,2},'Name List'!$B$3:$B$1000,'Name List'!#REF!),2,FALSE),"")</f>
        <v>#REF!</v>
      </c>
      <c r="AS5" s="201" t="e">
        <f>IF(AS2&lt;&gt;"",VLOOKUP(AS$2,CHOOSE({1,2},'Name List'!$B$3:$B$1000,'Name List'!#REF!),2,FALSE),"")</f>
        <v>#REF!</v>
      </c>
      <c r="AT5" s="201" t="e">
        <f>IF(AT2&lt;&gt;"",VLOOKUP(AT$2,CHOOSE({1,2},'Name List'!$B$3:$B$1000,'Name List'!#REF!),2,FALSE),"")</f>
        <v>#REF!</v>
      </c>
      <c r="AU5" s="201" t="e">
        <f>IF(AU2&lt;&gt;"",VLOOKUP(AU$2,CHOOSE({1,2},'Name List'!$B$3:$B$1000,'Name List'!#REF!),2,FALSE),"")</f>
        <v>#REF!</v>
      </c>
      <c r="AV5" s="201" t="e">
        <f>IF(AV2&lt;&gt;"",VLOOKUP(AV$2,CHOOSE({1,2},'Name List'!$B$3:$B$1000,'Name List'!#REF!),2,FALSE),"")</f>
        <v>#N/A</v>
      </c>
      <c r="AW5" s="201" t="e">
        <f>IF(AW2&lt;&gt;"",VLOOKUP(AW$2,CHOOSE({1,2},'Name List'!$B$3:$B$1000,'Name List'!#REF!),2,FALSE),"")</f>
        <v>#REF!</v>
      </c>
      <c r="AX5" s="201" t="e">
        <f>IF(AX2&lt;&gt;"",VLOOKUP(AX$2,CHOOSE({1,2},'Name List'!$B$3:$B$1000,'Name List'!#REF!),2,FALSE),"")</f>
        <v>#N/A</v>
      </c>
      <c r="AY5" s="201" t="e">
        <f>IF(AY2&lt;&gt;"",VLOOKUP(AY$2,CHOOSE({1,2},'Name List'!$B$3:$B$1000,'Name List'!#REF!),2,FALSE),"")</f>
        <v>#N/A</v>
      </c>
      <c r="AZ5" s="201" t="e">
        <f>IF(AZ2&lt;&gt;"",VLOOKUP(AZ$2,CHOOSE({1,2},'Name List'!$B$3:$B$1000,'Name List'!#REF!),2,FALSE),"")</f>
        <v>#REF!</v>
      </c>
      <c r="BA5" s="201" t="e">
        <f>IF(BA2&lt;&gt;"",VLOOKUP(BA$2,CHOOSE({1,2},'Name List'!$B$3:$B$1000,'Name List'!#REF!),2,FALSE),"")</f>
        <v>#N/A</v>
      </c>
      <c r="BB5" s="201" t="e">
        <f>IF(BB2&lt;&gt;"",VLOOKUP(BB$2,CHOOSE({1,2},'Name List'!$B$3:$B$1000,'Name List'!#REF!),2,FALSE),"")</f>
        <v>#N/A</v>
      </c>
      <c r="BC5" s="201" t="e">
        <f>IF(BC2&lt;&gt;"",VLOOKUP(BC$2,CHOOSE({1,2},'Name List'!$B$3:$B$1000,'Name List'!#REF!),2,FALSE),"")</f>
        <v>#REF!</v>
      </c>
      <c r="BD5" s="201" t="e">
        <f>IF(BD2&lt;&gt;"",VLOOKUP(BD$2,CHOOSE({1,2},'Name List'!$B$3:$B$1000,'Name List'!#REF!),2,FALSE),"")</f>
        <v>#REF!</v>
      </c>
      <c r="BE5" s="201" t="e">
        <f>IF(BE2&lt;&gt;"",VLOOKUP(BE$2,CHOOSE({1,2},'Name List'!$B$3:$B$1000,'Name List'!#REF!),2,FALSE),"")</f>
        <v>#REF!</v>
      </c>
      <c r="BF5" s="201" t="e">
        <f>IF(BF2&lt;&gt;"",VLOOKUP(BF$2,CHOOSE({1,2},'Name List'!$B$3:$B$1000,'Name List'!#REF!),2,FALSE),"")</f>
        <v>#REF!</v>
      </c>
      <c r="BG5" s="201" t="e">
        <f>IF(BG2&lt;&gt;"",VLOOKUP(BG$2,CHOOSE({1,2},'Name List'!$B$3:$B$1000,'Name List'!#REF!),2,FALSE),"")</f>
        <v>#N/A</v>
      </c>
      <c r="BH5" s="201" t="e">
        <f>IF(BH2&lt;&gt;"",VLOOKUP(BH$2,CHOOSE({1,2},'Name List'!$B$3:$B$1000,'Name List'!#REF!),2,FALSE),"")</f>
        <v>#REF!</v>
      </c>
      <c r="BI5" s="201" t="e">
        <f>IF(BI2&lt;&gt;"",VLOOKUP(BI$2,CHOOSE({1,2},'Name List'!$B$3:$B$1000,'Name List'!#REF!),2,FALSE),"")</f>
        <v>#REF!</v>
      </c>
      <c r="BJ5" s="201" t="e">
        <f>IF(BJ2&lt;&gt;"",VLOOKUP(BJ$2,CHOOSE({1,2},'Name List'!$B$3:$B$1000,'Name List'!#REF!),2,FALSE),"")</f>
        <v>#N/A</v>
      </c>
      <c r="BK5" s="201" t="e">
        <f>IF(BK2&lt;&gt;"",VLOOKUP(BK$2,CHOOSE({1,2},'Name List'!$B$3:$B$1000,'Name List'!#REF!),2,FALSE),"")</f>
        <v>#REF!</v>
      </c>
      <c r="BL5" s="201" t="e">
        <f>IF(BL2&lt;&gt;"",VLOOKUP(BL$2,CHOOSE({1,2},'Name List'!$B$3:$B$1000,'Name List'!#REF!),2,FALSE),"")</f>
        <v>#REF!</v>
      </c>
      <c r="BM5" s="201" t="e">
        <f>IF(BM2&lt;&gt;"",VLOOKUP(BM$2,CHOOSE({1,2},'Name List'!$B$3:$B$1000,'Name List'!#REF!),2,FALSE),"")</f>
        <v>#REF!</v>
      </c>
      <c r="BN5" s="201" t="e">
        <f>IF(BN2&lt;&gt;"",VLOOKUP(BN$2,CHOOSE({1,2},'Name List'!$B$3:$B$1000,'Name List'!#REF!),2,FALSE),"")</f>
        <v>#N/A</v>
      </c>
      <c r="BO5" s="201" t="e">
        <f>IF(BO2&lt;&gt;"",VLOOKUP(BO$2,CHOOSE({1,2},'Name List'!$B$3:$B$1000,'Name List'!#REF!),2,FALSE),"")</f>
        <v>#REF!</v>
      </c>
      <c r="BP5" s="201" t="e">
        <f>IF(BP2&lt;&gt;"",VLOOKUP(BP$2,CHOOSE({1,2},'Name List'!$B$3:$B$1000,'Name List'!#REF!),2,FALSE),"")</f>
        <v>#N/A</v>
      </c>
      <c r="BQ5" s="201" t="e">
        <f>IF(BQ2&lt;&gt;"",VLOOKUP(BQ$2,CHOOSE({1,2},'Name List'!$B$3:$B$1000,'Name List'!#REF!),2,FALSE),"")</f>
        <v>#REF!</v>
      </c>
      <c r="BR5" s="201" t="e">
        <f>IF(BR2&lt;&gt;"",VLOOKUP(BR$2,CHOOSE({1,2},'Name List'!$B$3:$B$1000,'Name List'!#REF!),2,FALSE),"")</f>
        <v>#REF!</v>
      </c>
      <c r="BS5" s="201" t="e">
        <f>IF(BS2&lt;&gt;"",VLOOKUP(BS$2,CHOOSE({1,2},'Name List'!$B$3:$B$1000,'Name List'!#REF!),2,FALSE),"")</f>
        <v>#REF!</v>
      </c>
      <c r="BT5" s="201" t="e">
        <f>IF(BT2&lt;&gt;"",VLOOKUP(BT$2,CHOOSE({1,2},'Name List'!$B$3:$B$1000,'Name List'!#REF!),2,FALSE),"")</f>
        <v>#REF!</v>
      </c>
      <c r="BU5" s="201" t="e">
        <f>IF(BU2&lt;&gt;"",VLOOKUP(BU$2,CHOOSE({1,2},'Name List'!$B$3:$B$1000,'Name List'!#REF!),2,FALSE),"")</f>
        <v>#REF!</v>
      </c>
      <c r="BV5" s="201" t="e">
        <f>IF(BV2&lt;&gt;"",VLOOKUP(BV$2,CHOOSE({1,2},'Name List'!$B$3:$B$1000,'Name List'!#REF!),2,FALSE),"")</f>
        <v>#REF!</v>
      </c>
      <c r="BW5" s="201" t="e">
        <f>IF(BW2&lt;&gt;"",VLOOKUP(BW$2,CHOOSE({1,2},'Name List'!$B$3:$B$1000,'Name List'!#REF!),2,FALSE),"")</f>
        <v>#REF!</v>
      </c>
      <c r="BX5" s="201" t="e">
        <f>IF(BX2&lt;&gt;"",VLOOKUP(BX$2,CHOOSE({1,2},'Name List'!$B$3:$B$1000,'Name List'!#REF!),2,FALSE),"")</f>
        <v>#REF!</v>
      </c>
      <c r="BY5" s="201" t="e">
        <f>IF(BY2&lt;&gt;"",VLOOKUP(BY$2,CHOOSE({1,2},'Name List'!$B$3:$B$1000,'Name List'!#REF!),2,FALSE),"")</f>
        <v>#N/A</v>
      </c>
      <c r="BZ5" s="201" t="e">
        <f>IF(BZ2&lt;&gt;"",VLOOKUP(BZ$2,CHOOSE({1,2},'Name List'!$B$3:$B$1000,'Name List'!#REF!),2,FALSE),"")</f>
        <v>#N/A</v>
      </c>
      <c r="CA5" s="201" t="e">
        <f>IF(CA2&lt;&gt;"",VLOOKUP(CA$2,CHOOSE({1,2},'Name List'!$B$3:$B$1000,'Name List'!#REF!),2,FALSE),"")</f>
        <v>#N/A</v>
      </c>
      <c r="CB5" s="201" t="e">
        <f>IF(CB2&lt;&gt;"",VLOOKUP(CB$2,CHOOSE({1,2},'Name List'!$B$3:$B$1000,'Name List'!#REF!),2,FALSE),"")</f>
        <v>#N/A</v>
      </c>
      <c r="CC5" s="201" t="e">
        <f>IF(CC2&lt;&gt;"",VLOOKUP(CC$2,CHOOSE({1,2},'Name List'!$B$3:$B$1000,'Name List'!#REF!),2,FALSE),"")</f>
        <v>#N/A</v>
      </c>
      <c r="CD5" s="201" t="e">
        <f>IF(CD2&lt;&gt;"",VLOOKUP(CD$2,CHOOSE({1,2},'Name List'!$B$3:$B$1000,'Name List'!#REF!),2,FALSE),"")</f>
        <v>#N/A</v>
      </c>
      <c r="CE5" s="201" t="e">
        <f>IF(CE2&lt;&gt;"",VLOOKUP(CE$2,CHOOSE({1,2},'Name List'!$B$3:$B$1000,'Name List'!#REF!),2,FALSE),"")</f>
        <v>#N/A</v>
      </c>
      <c r="CF5" s="201" t="e">
        <f>IF(CF2&lt;&gt;"",VLOOKUP(CF$2,CHOOSE({1,2},'Name List'!$B$3:$B$1000,'Name List'!#REF!),2,FALSE),"")</f>
        <v>#N/A</v>
      </c>
      <c r="CG5" s="201" t="e">
        <f>IF(CG2&lt;&gt;"",VLOOKUP(CG$2,CHOOSE({1,2},'Name List'!$B$3:$B$1000,'Name List'!#REF!),2,FALSE),"")</f>
        <v>#N/A</v>
      </c>
      <c r="CH5" s="201" t="e">
        <f>IF(CH2&lt;&gt;"",VLOOKUP(CH$2,CHOOSE({1,2},'Name List'!$B$3:$B$1000,'Name List'!#REF!),2,FALSE),"")</f>
        <v>#N/A</v>
      </c>
      <c r="CI5" s="201" t="e">
        <f>IF(CI2&lt;&gt;"",VLOOKUP(CI$2,CHOOSE({1,2},'Name List'!$B$3:$B$1000,'Name List'!#REF!),2,FALSE),"")</f>
        <v>#N/A</v>
      </c>
      <c r="CJ5" s="201" t="e">
        <f>IF(CJ2&lt;&gt;"",VLOOKUP(CJ$2,CHOOSE({1,2},'Name List'!$B$3:$B$1000,'Name List'!#REF!),2,FALSE),"")</f>
        <v>#N/A</v>
      </c>
      <c r="CK5" s="201" t="e">
        <f>IF(CK2&lt;&gt;"",VLOOKUP(CK$2,CHOOSE({1,2},'Name List'!$B$3:$B$1000,'Name List'!#REF!),2,FALSE),"")</f>
        <v>#N/A</v>
      </c>
      <c r="CL5" s="201" t="e">
        <f>IF(CL2&lt;&gt;"",VLOOKUP(CL$2,CHOOSE({1,2},'Name List'!$B$3:$B$1000,'Name List'!#REF!),2,FALSE),"")</f>
        <v>#N/A</v>
      </c>
      <c r="CM5" s="201" t="e">
        <f>IF(CM2&lt;&gt;"",VLOOKUP(CM$2,CHOOSE({1,2},'Name List'!$B$3:$B$1000,'Name List'!#REF!),2,FALSE),"")</f>
        <v>#REF!</v>
      </c>
      <c r="CN5" s="201" t="e">
        <f>IF(CN2&lt;&gt;"",VLOOKUP(CN$2,CHOOSE({1,2},'Name List'!$B$3:$B$1000,'Name List'!#REF!),2,FALSE),"")</f>
        <v>#N/A</v>
      </c>
      <c r="CO5" s="201" t="str">
        <f>IF(CO2&lt;&gt;"",VLOOKUP(CO$2,CHOOSE({1,2},'Name List'!$B$3:$B$1000,'Name List'!#REF!),2,FALSE),"")</f>
        <v/>
      </c>
      <c r="CP5" s="201" t="str">
        <f>IF(CP2&lt;&gt;"",VLOOKUP(CP$2,CHOOSE({1,2},'Name List'!$B$3:$B$1000,'Name List'!#REF!),2,FALSE),"")</f>
        <v/>
      </c>
      <c r="CQ5" s="201" t="str">
        <f>IF(CQ2&lt;&gt;"",VLOOKUP(CQ$2,CHOOSE({1,2},'Name List'!$B$3:$B$1000,'Name List'!#REF!),2,FALSE),"")</f>
        <v/>
      </c>
      <c r="CR5" s="201" t="str">
        <f>IF(CR2&lt;&gt;"",VLOOKUP(CR$2,CHOOSE({1,2},'Name List'!$B$3:$B$1000,'Name List'!#REF!),2,FALSE),"")</f>
        <v/>
      </c>
      <c r="CS5" s="201" t="str">
        <f>IF(CS2&lt;&gt;"",VLOOKUP(CS$2,CHOOSE({1,2},'Name List'!$B$3:$B$1000,'Name List'!#REF!),2,FALSE),"")</f>
        <v/>
      </c>
      <c r="CT5" s="201" t="str">
        <f>IF(CT2&lt;&gt;"",VLOOKUP(CT$2,CHOOSE({1,2},'Name List'!$B$3:$B$1000,'Name List'!#REF!),2,FALSE),"")</f>
        <v/>
      </c>
      <c r="CU5" s="201" t="str">
        <f>IF(CU2&lt;&gt;"",VLOOKUP(CU$2,CHOOSE({1,2},'Name List'!$B$3:$B$1000,'Name List'!#REF!),2,FALSE),"")</f>
        <v/>
      </c>
      <c r="CV5" s="201" t="str">
        <f>IF(CV2&lt;&gt;"",VLOOKUP(CV$2,CHOOSE({1,2},'Name List'!$B$3:$B$1000,'Name List'!#REF!),2,FALSE),"")</f>
        <v/>
      </c>
      <c r="CW5" s="201" t="str">
        <f>IF(CW2&lt;&gt;"",VLOOKUP(CW$2,CHOOSE({1,2},'Name List'!$B$3:$B$1000,'Name List'!#REF!),2,FALSE),"")</f>
        <v/>
      </c>
      <c r="CX5" s="201" t="str">
        <f>IF(CX2&lt;&gt;"",VLOOKUP(CX$2,CHOOSE({1,2},'Name List'!$B$3:$B$1000,'Name List'!#REF!),2,FALSE),"")</f>
        <v/>
      </c>
      <c r="CY5" s="201" t="str">
        <f>IF(CY2&lt;&gt;"",VLOOKUP(CY$2,CHOOSE({1,2},'Name List'!$B$3:$B$1000,'Name List'!#REF!),2,FALSE),"")</f>
        <v/>
      </c>
      <c r="CZ5" s="201" t="str">
        <f>IF(CZ2&lt;&gt;"",VLOOKUP(CZ$2,CHOOSE({1,2},'Name List'!$B$3:$B$1000,'Name List'!#REF!),2,FALSE),"")</f>
        <v/>
      </c>
      <c r="DA5" s="201" t="str">
        <f>IF(DA2&lt;&gt;"",VLOOKUP(DA$2,CHOOSE({1,2},'Name List'!$B$3:$B$1000,'Name List'!#REF!),2,FALSE),"")</f>
        <v/>
      </c>
      <c r="DB5" s="201" t="str">
        <f>IF(DB2&lt;&gt;"",VLOOKUP(DB$2,CHOOSE({1,2},'Name List'!$B$3:$B$1000,'Name List'!#REF!),2,FALSE),"")</f>
        <v/>
      </c>
      <c r="DC5" s="201" t="str">
        <f>IF(DC2&lt;&gt;"",VLOOKUP(DC$2,CHOOSE({1,2},'Name List'!$B$3:$B$1000,'Name List'!#REF!),2,FALSE),"")</f>
        <v/>
      </c>
      <c r="DD5" s="201" t="str">
        <f>IF(DD2&lt;&gt;"",VLOOKUP(DD$2,CHOOSE({1,2},'Name List'!$B$3:$B$1000,'Name List'!#REF!),2,FALSE),"")</f>
        <v/>
      </c>
      <c r="DE5" s="201" t="str">
        <f>IF(DE2&lt;&gt;"",VLOOKUP(DE$2,CHOOSE({1,2},'Name List'!$B$3:$B$1000,'Name List'!#REF!),2,FALSE),"")</f>
        <v/>
      </c>
      <c r="DF5" s="201" t="str">
        <f>IF(DF2&lt;&gt;"",VLOOKUP(DF$2,CHOOSE({1,2},'Name List'!$B$3:$B$1000,'Name List'!#REF!),2,FALSE),"")</f>
        <v/>
      </c>
      <c r="DG5" s="201" t="str">
        <f>IF(DG2&lt;&gt;"",VLOOKUP(DG$2,CHOOSE({1,2},'Name List'!$B$3:$B$1000,'Name List'!#REF!),2,FALSE),"")</f>
        <v/>
      </c>
      <c r="DH5" s="201" t="str">
        <f>IF(DH2&lt;&gt;"",VLOOKUP(DH$2,CHOOSE({1,2},'Name List'!$B$3:$B$1000,'Name List'!#REF!),2,FALSE),"")</f>
        <v/>
      </c>
      <c r="DI5" s="201" t="str">
        <f>IF(DI2&lt;&gt;"",VLOOKUP(DI$2,CHOOSE({1,2},'Name List'!$B$3:$B$1000,'Name List'!#REF!),2,FALSE),"")</f>
        <v/>
      </c>
      <c r="DJ5" s="201" t="str">
        <f>IF(DJ2&lt;&gt;"",VLOOKUP(DJ$2,CHOOSE({1,2},'Name List'!$B$3:$B$1000,'Name List'!#REF!),2,FALSE),"")</f>
        <v/>
      </c>
      <c r="DK5" s="201" t="str">
        <f>IF(DK2&lt;&gt;"",VLOOKUP(DK$2,CHOOSE({1,2},'Name List'!$B$3:$B$1000,'Name List'!#REF!),2,FALSE),"")</f>
        <v/>
      </c>
      <c r="DL5" s="201" t="str">
        <f>IF(DL2&lt;&gt;"",VLOOKUP(DL$2,CHOOSE({1,2},'Name List'!$B$3:$B$1000,'Name List'!#REF!),2,FALSE),"")</f>
        <v/>
      </c>
      <c r="DM5" s="201" t="str">
        <f>IF(DM2&lt;&gt;"",VLOOKUP(DM$2,CHOOSE({1,2},'Name List'!$B$3:$B$1000,'Name List'!#REF!),2,FALSE),"")</f>
        <v/>
      </c>
      <c r="DN5" s="201" t="str">
        <f>IF(DN2&lt;&gt;"",VLOOKUP(DN$2,CHOOSE({1,2},'Name List'!$B$3:$B$1000,'Name List'!#REF!),2,FALSE),"")</f>
        <v/>
      </c>
      <c r="DO5" s="201" t="str">
        <f>IF(DO2&lt;&gt;"",VLOOKUP(DO$2,CHOOSE({1,2},'Name List'!$B$3:$B$1000,'Name List'!#REF!),2,FALSE),"")</f>
        <v/>
      </c>
      <c r="DP5" s="201" t="str">
        <f>IF(DP2&lt;&gt;"",VLOOKUP(DP$2,CHOOSE({1,2},'Name List'!$B$3:$B$1000,'Name List'!#REF!),2,FALSE),"")</f>
        <v/>
      </c>
      <c r="DQ5" s="201" t="str">
        <f>IF(DQ2&lt;&gt;"",VLOOKUP(DQ$2,CHOOSE({1,2},'Name List'!$B$3:$B$1000,'Name List'!#REF!),2,FALSE),"")</f>
        <v/>
      </c>
      <c r="DR5" s="201" t="str">
        <f>IF(DR2&lt;&gt;"",VLOOKUP(DR$2,CHOOSE({1,2},'Name List'!$B$3:$B$1000,'Name List'!#REF!),2,FALSE),"")</f>
        <v/>
      </c>
      <c r="DS5" s="201" t="str">
        <f>IF(DS2&lt;&gt;"",VLOOKUP(DS$2,CHOOSE({1,2},'Name List'!$B$3:$B$1000,'Name List'!#REF!),2,FALSE),"")</f>
        <v/>
      </c>
      <c r="DT5" s="201" t="str">
        <f>IF(DT2&lt;&gt;"",VLOOKUP(DT$2,CHOOSE({1,2},'Name List'!$B$3:$B$1000,'Name List'!#REF!),2,FALSE),"")</f>
        <v/>
      </c>
      <c r="DU5" s="201" t="str">
        <f>IF(DU2&lt;&gt;"",VLOOKUP(DU$2,CHOOSE({1,2},'Name List'!$B$3:$B$1000,'Name List'!#REF!),2,FALSE),"")</f>
        <v/>
      </c>
      <c r="DV5" s="201" t="str">
        <f>IF(DV2&lt;&gt;"",VLOOKUP(DV$2,CHOOSE({1,2},'Name List'!$B$3:$B$1000,'Name List'!#REF!),2,FALSE),"")</f>
        <v/>
      </c>
      <c r="DW5" s="201" t="str">
        <f>IF(DW2&lt;&gt;"",VLOOKUP(DW$2,CHOOSE({1,2},'Name List'!$B$3:$B$1000,'Name List'!#REF!),2,FALSE),"")</f>
        <v/>
      </c>
      <c r="DX5" s="201" t="str">
        <f>IF(DX2&lt;&gt;"",VLOOKUP(DX$2,CHOOSE({1,2},'Name List'!$B$3:$B$1000,'Name List'!#REF!),2,FALSE),"")</f>
        <v/>
      </c>
      <c r="DY5" s="201" t="str">
        <f>IF(DY2&lt;&gt;"",VLOOKUP(DY$2,CHOOSE({1,2},'Name List'!$B$3:$B$1000,'Name List'!#REF!),2,FALSE),"")</f>
        <v/>
      </c>
      <c r="DZ5" s="201" t="str">
        <f>IF(DZ2&lt;&gt;"",VLOOKUP(DZ$2,CHOOSE({1,2},'Name List'!$B$3:$B$1000,'Name List'!#REF!),2,FALSE),"")</f>
        <v/>
      </c>
      <c r="EA5" s="201" t="str">
        <f>IF(EA2&lt;&gt;"",VLOOKUP(EA$2,CHOOSE({1,2},'Name List'!$B$3:$B$1000,'Name List'!#REF!),2,FALSE),"")</f>
        <v/>
      </c>
      <c r="EB5" s="201" t="str">
        <f>IF(EB2&lt;&gt;"",VLOOKUP(EB$2,CHOOSE({1,2},'Name List'!$B$3:$B$1000,'Name List'!#REF!),2,FALSE),"")</f>
        <v/>
      </c>
      <c r="EC5" s="201" t="str">
        <f>IF(EC2&lt;&gt;"",VLOOKUP(EC$2,CHOOSE({1,2},'Name List'!$B$3:$B$1000,'Name List'!#REF!),2,FALSE),"")</f>
        <v/>
      </c>
      <c r="ED5" s="201" t="str">
        <f>IF(ED2&lt;&gt;"",VLOOKUP(ED$2,CHOOSE({1,2},'Name List'!$B$3:$B$1000,'Name List'!#REF!),2,FALSE),"")</f>
        <v/>
      </c>
      <c r="EE5" s="201" t="str">
        <f>IF(EE2&lt;&gt;"",VLOOKUP(EE$2,CHOOSE({1,2},'Name List'!$B$3:$B$1000,'Name List'!#REF!),2,FALSE),"")</f>
        <v/>
      </c>
      <c r="EF5" s="201" t="str">
        <f>IF(EF2&lt;&gt;"",VLOOKUP(EF$2,CHOOSE({1,2},'Name List'!$B$3:$B$1000,'Name List'!#REF!),2,FALSE),"")</f>
        <v/>
      </c>
      <c r="EG5" s="201" t="str">
        <f>IF(EG2&lt;&gt;"",VLOOKUP(EG$2,CHOOSE({1,2},'Name List'!$B$3:$B$1000,'Name List'!#REF!),2,FALSE),"")</f>
        <v/>
      </c>
      <c r="EH5" s="201" t="str">
        <f>IF(EH2&lt;&gt;"",VLOOKUP(EH$2,CHOOSE({1,2},'Name List'!$B$3:$B$1000,'Name List'!#REF!),2,FALSE),"")</f>
        <v/>
      </c>
      <c r="EI5" s="201" t="str">
        <f>IF(EI2&lt;&gt;"",VLOOKUP(EI$2,CHOOSE({1,2},'Name List'!$B$3:$B$1000,'Name List'!#REF!),2,FALSE),"")</f>
        <v/>
      </c>
      <c r="EJ5" s="201" t="str">
        <f>IF(EJ2&lt;&gt;"",VLOOKUP(EJ$2,CHOOSE({1,2},'Name List'!$B$3:$B$1000,'Name List'!#REF!),2,FALSE),"")</f>
        <v/>
      </c>
      <c r="EK5" s="201" t="str">
        <f>IF(EK2&lt;&gt;"",VLOOKUP(EK$2,CHOOSE({1,2},'Name List'!$B$3:$B$1000,'Name List'!#REF!),2,FALSE),"")</f>
        <v/>
      </c>
      <c r="EL5" s="201" t="str">
        <f>IF(EL2&lt;&gt;"",VLOOKUP(EL$2,CHOOSE({1,2},'Name List'!$B$3:$B$1000,'Name List'!#REF!),2,FALSE),"")</f>
        <v/>
      </c>
      <c r="EM5" s="201" t="str">
        <f>IF(EM2&lt;&gt;"",VLOOKUP(EM$2,CHOOSE({1,2},'Name List'!$B$3:$B$1000,'Name List'!#REF!),2,FALSE),"")</f>
        <v/>
      </c>
      <c r="EN5" s="201" t="str">
        <f>IF(EN2&lt;&gt;"",VLOOKUP(EN$2,CHOOSE({1,2},'Name List'!$B$3:$B$1000,'Name List'!#REF!),2,FALSE),"")</f>
        <v/>
      </c>
      <c r="EO5" s="201" t="str">
        <f>IF(EO2&lt;&gt;"",VLOOKUP(EO$2,CHOOSE({1,2},'Name List'!$B$3:$B$1000,'Name List'!#REF!),2,FALSE),"")</f>
        <v/>
      </c>
      <c r="EP5" s="201" t="str">
        <f>IF(EP2&lt;&gt;"",VLOOKUP(EP$2,CHOOSE({1,2},'Name List'!$B$3:$B$1000,'Name List'!#REF!),2,FALSE),"")</f>
        <v/>
      </c>
      <c r="EQ5" s="201" t="str">
        <f>IF(EQ2&lt;&gt;"",VLOOKUP(EQ$2,CHOOSE({1,2},'Name List'!$B$3:$B$1000,'Name List'!#REF!),2,FALSE),"")</f>
        <v/>
      </c>
      <c r="ER5" s="201" t="str">
        <f>IF(ER2&lt;&gt;"",VLOOKUP(ER$2,CHOOSE({1,2},'Name List'!$B$3:$B$1000,'Name List'!#REF!),2,FALSE),"")</f>
        <v/>
      </c>
      <c r="ES5" s="201" t="str">
        <f>IF(ES2&lt;&gt;"",VLOOKUP(ES$2,CHOOSE({1,2},'Name List'!$B$3:$B$1000,'Name List'!#REF!),2,FALSE),"")</f>
        <v/>
      </c>
      <c r="ET5" s="201" t="str">
        <f>IF(ET2&lt;&gt;"",VLOOKUP(ET$2,CHOOSE({1,2},'Name List'!$B$3:$B$1000,'Name List'!#REF!),2,FALSE),"")</f>
        <v/>
      </c>
      <c r="EU5" s="201" t="str">
        <f>IF(EU2&lt;&gt;"",VLOOKUP(EU$2,CHOOSE({1,2},'Name List'!$B$3:$B$1000,'Name List'!#REF!),2,FALSE),"")</f>
        <v/>
      </c>
      <c r="EV5" s="201" t="str">
        <f>IF(EV2&lt;&gt;"",VLOOKUP(EV$2,CHOOSE({1,2},'Name List'!$B$3:$B$1000,'Name List'!#REF!),2,FALSE),"")</f>
        <v/>
      </c>
      <c r="EW5" s="201" t="str">
        <f>IF(EW2&lt;&gt;"",VLOOKUP(EW$2,CHOOSE({1,2},'Name List'!$B$3:$B$1000,'Name List'!#REF!),2,FALSE),"")</f>
        <v/>
      </c>
      <c r="EX5" s="201" t="str">
        <f>IF(EX2&lt;&gt;"",VLOOKUP(EX$2,CHOOSE({1,2},'Name List'!$B$3:$B$1000,'Name List'!#REF!),2,FALSE),"")</f>
        <v/>
      </c>
      <c r="EY5" s="201" t="str">
        <f>IF(EY2&lt;&gt;"",VLOOKUP(EY$2,CHOOSE({1,2},'Name List'!$B$3:$B$1000,'Name List'!#REF!),2,FALSE),"")</f>
        <v/>
      </c>
      <c r="EZ5" s="201" t="str">
        <f>IF(EZ2&lt;&gt;"",VLOOKUP(EZ$2,CHOOSE({1,2},'Name List'!$B$3:$B$1000,'Name List'!#REF!),2,FALSE),"")</f>
        <v/>
      </c>
      <c r="FA5" s="201" t="str">
        <f>IF(FA2&lt;&gt;"",VLOOKUP(FA$2,CHOOSE({1,2},'Name List'!$B$3:$B$1000,'Name List'!#REF!),2,FALSE),"")</f>
        <v/>
      </c>
      <c r="FB5" s="201" t="str">
        <f>IF(FB2&lt;&gt;"",VLOOKUP(FB$2,CHOOSE({1,2},'Name List'!$B$3:$B$1000,'Name List'!#REF!),2,FALSE),"")</f>
        <v/>
      </c>
      <c r="FC5" s="201" t="str">
        <f>IF(FC2&lt;&gt;"",VLOOKUP(FC$2,CHOOSE({1,2},'Name List'!$B$3:$B$1000,'Name List'!#REF!),2,FALSE),"")</f>
        <v/>
      </c>
      <c r="FD5" s="201" t="str">
        <f>IF(FD2&lt;&gt;"",VLOOKUP(FD$2,CHOOSE({1,2},'Name List'!$B$3:$B$1000,'Name List'!#REF!),2,FALSE),"")</f>
        <v/>
      </c>
      <c r="FE5" s="201" t="str">
        <f>IF(FE2&lt;&gt;"",VLOOKUP(FE$2,CHOOSE({1,2},'Name List'!$B$3:$B$1000,'Name List'!#REF!),2,FALSE),"")</f>
        <v/>
      </c>
      <c r="FF5" s="201" t="str">
        <f>IF(FF2&lt;&gt;"",VLOOKUP(FF$2,CHOOSE({1,2},'Name List'!$B$3:$B$1000,'Name List'!#REF!),2,FALSE),"")</f>
        <v/>
      </c>
      <c r="FG5" s="201" t="str">
        <f>IF(FG2&lt;&gt;"",VLOOKUP(FG$2,CHOOSE({1,2},'Name List'!$B$3:$B$1000,'Name List'!#REF!),2,FALSE),"")</f>
        <v/>
      </c>
      <c r="FH5" s="201" t="str">
        <f>IF(FH2&lt;&gt;"",VLOOKUP(FH$2,CHOOSE({1,2},'Name List'!$B$3:$B$1000,'Name List'!#REF!),2,FALSE),"")</f>
        <v/>
      </c>
      <c r="FI5" s="201" t="str">
        <f>IF(FI2&lt;&gt;"",VLOOKUP(FI$2,CHOOSE({1,2},'Name List'!$B$3:$B$1000,'Name List'!#REF!),2,FALSE),"")</f>
        <v/>
      </c>
      <c r="FJ5" s="201" t="str">
        <f>IF(FJ2&lt;&gt;"",VLOOKUP(FJ$2,CHOOSE({1,2},'Name List'!$B$3:$B$1000,'Name List'!#REF!),2,FALSE),"")</f>
        <v/>
      </c>
      <c r="FK5" s="201" t="str">
        <f>IF(FK2&lt;&gt;"",VLOOKUP(FK$2,CHOOSE({1,2},'Name List'!$B$3:$B$1000,'Name List'!#REF!),2,FALSE),"")</f>
        <v/>
      </c>
      <c r="FL5" s="201" t="str">
        <f>IF(FL2&lt;&gt;"",VLOOKUP(FL$2,CHOOSE({1,2},'Name List'!$B$3:$B$1000,'Name List'!#REF!),2,FALSE),"")</f>
        <v/>
      </c>
      <c r="FM5" s="201" t="str">
        <f>IF(FM2&lt;&gt;"",VLOOKUP(FM$2,CHOOSE({1,2},'Name List'!$B$3:$B$1000,'Name List'!#REF!),2,FALSE),"")</f>
        <v/>
      </c>
      <c r="FN5" s="201" t="str">
        <f>IF(FN2&lt;&gt;"",VLOOKUP(FN$2,CHOOSE({1,2},'Name List'!$B$3:$B$1000,'Name List'!#REF!),2,FALSE),"")</f>
        <v/>
      </c>
      <c r="FO5" s="201" t="str">
        <f>IF(FO2&lt;&gt;"",VLOOKUP(FO$2,CHOOSE({1,2},'Name List'!$B$3:$B$1000,'Name List'!#REF!),2,FALSE),"")</f>
        <v/>
      </c>
      <c r="FP5" s="201" t="str">
        <f>IF(FP2&lt;&gt;"",VLOOKUP(FP$2,CHOOSE({1,2},'Name List'!$B$3:$B$1000,'Name List'!#REF!),2,FALSE),"")</f>
        <v/>
      </c>
      <c r="FQ5" s="201" t="str">
        <f>IF(FQ2&lt;&gt;"",VLOOKUP(FQ$2,CHOOSE({1,2},'Name List'!$B$3:$B$1000,'Name List'!#REF!),2,FALSE),"")</f>
        <v/>
      </c>
      <c r="FR5" s="201" t="str">
        <f>IF(FR2&lt;&gt;"",VLOOKUP(FR$2,CHOOSE({1,2},'Name List'!$B$3:$B$1000,'Name List'!#REF!),2,FALSE),"")</f>
        <v/>
      </c>
      <c r="FS5" s="201" t="str">
        <f>IF(FS2&lt;&gt;"",VLOOKUP(FS$2,CHOOSE({1,2},'Name List'!$B$3:$B$1000,'Name List'!#REF!),2,FALSE),"")</f>
        <v/>
      </c>
      <c r="FT5" s="201" t="str">
        <f>IF(FT2&lt;&gt;"",VLOOKUP(FT$2,CHOOSE({1,2},'Name List'!$B$3:$B$1000,'Name List'!#REF!),2,FALSE),"")</f>
        <v/>
      </c>
      <c r="FU5" s="201" t="str">
        <f>IF(FU2&lt;&gt;"",VLOOKUP(FU$2,CHOOSE({1,2},'Name List'!$B$3:$B$1000,'Name List'!#REF!),2,FALSE),"")</f>
        <v/>
      </c>
      <c r="FV5" s="201" t="str">
        <f>IF(FV2&lt;&gt;"",VLOOKUP(FV$2,CHOOSE({1,2},'Name List'!$B$3:$B$1000,'Name List'!#REF!),2,FALSE),"")</f>
        <v/>
      </c>
      <c r="FW5" s="201" t="str">
        <f>IF(FW2&lt;&gt;"",VLOOKUP(FW$2,CHOOSE({1,2},'Name List'!$B$3:$B$1000,'Name List'!#REF!),2,FALSE),"")</f>
        <v/>
      </c>
      <c r="FX5" s="201" t="str">
        <f>IF(FX2&lt;&gt;"",VLOOKUP(FX$2,CHOOSE({1,2},'Name List'!$B$3:$B$1000,'Name List'!#REF!),2,FALSE),"")</f>
        <v/>
      </c>
      <c r="FY5" s="201" t="str">
        <f>IF(FY2&lt;&gt;"",VLOOKUP(FY$2,CHOOSE({1,2},'Name List'!$B$3:$B$1000,'Name List'!#REF!),2,FALSE),"")</f>
        <v/>
      </c>
      <c r="FZ5" s="201" t="str">
        <f>IF(FZ2&lt;&gt;"",VLOOKUP(FZ$2,CHOOSE({1,2},'Name List'!$B$3:$B$1000,'Name List'!#REF!),2,FALSE),"")</f>
        <v/>
      </c>
      <c r="GA5" s="201" t="str">
        <f>IF(GA2&lt;&gt;"",VLOOKUP(GA$2,CHOOSE({1,2},'Name List'!$B$3:$B$1000,'Name List'!#REF!),2,FALSE),"")</f>
        <v/>
      </c>
      <c r="GB5" s="201" t="str">
        <f>IF(GB2&lt;&gt;"",VLOOKUP(GB$2,CHOOSE({1,2},'Name List'!$B$3:$B$1000,'Name List'!#REF!),2,FALSE),"")</f>
        <v/>
      </c>
      <c r="GC5" s="201" t="str">
        <f>IF(GC2&lt;&gt;"",VLOOKUP(GC$2,CHOOSE({1,2},'Name List'!$B$3:$B$1000,'Name List'!#REF!),2,FALSE),"")</f>
        <v/>
      </c>
      <c r="GD5" s="201" t="str">
        <f>IF(GD2&lt;&gt;"",VLOOKUP(GD$2,CHOOSE({1,2},'Name List'!$B$3:$B$1000,'Name List'!#REF!),2,FALSE),"")</f>
        <v/>
      </c>
      <c r="GE5" s="201" t="str">
        <f>IF(GE2&lt;&gt;"",VLOOKUP(GE$2,CHOOSE({1,2},'Name List'!$B$3:$B$1000,'Name List'!#REF!),2,FALSE),"")</f>
        <v/>
      </c>
      <c r="GF5" s="201" t="str">
        <f>IF(GF2&lt;&gt;"",VLOOKUP(GF$2,CHOOSE({1,2},'Name List'!$B$3:$B$1000,'Name List'!#REF!),2,FALSE),"")</f>
        <v/>
      </c>
      <c r="GG5" s="201" t="str">
        <f>IF(GG2&lt;&gt;"",VLOOKUP(GG$2,CHOOSE({1,2},'Name List'!$B$3:$B$1000,'Name List'!#REF!),2,FALSE),"")</f>
        <v/>
      </c>
      <c r="GH5" s="201" t="str">
        <f>IF(GH2&lt;&gt;"",VLOOKUP(GH$2,CHOOSE({1,2},'Name List'!$B$3:$B$1000,'Name List'!#REF!),2,FALSE),"")</f>
        <v/>
      </c>
      <c r="GI5" s="201" t="str">
        <f>IF(GI2&lt;&gt;"",VLOOKUP(GI$2,CHOOSE({1,2},'Name List'!$B$3:$B$1000,'Name List'!#REF!),2,FALSE),"")</f>
        <v/>
      </c>
      <c r="GJ5" s="201" t="str">
        <f>IF(GJ2&lt;&gt;"",VLOOKUP(GJ$2,CHOOSE({1,2},'Name List'!$B$3:$B$1000,'Name List'!#REF!),2,FALSE),"")</f>
        <v/>
      </c>
      <c r="GK5" s="201" t="str">
        <f>IF(GK2&lt;&gt;"",VLOOKUP(GK$2,CHOOSE({1,2},'Name List'!$B$3:$B$1000,'Name List'!#REF!),2,FALSE),"")</f>
        <v/>
      </c>
      <c r="GL5" s="201" t="str">
        <f>IF(GL2&lt;&gt;"",VLOOKUP(GL$2,CHOOSE({1,2},'Name List'!$B$3:$B$1000,'Name List'!#REF!),2,FALSE),"")</f>
        <v/>
      </c>
      <c r="GM5" s="201" t="str">
        <f>IF(GM2&lt;&gt;"",VLOOKUP(GM$2,CHOOSE({1,2},'Name List'!$B$3:$B$1000,'Name List'!#REF!),2,FALSE),"")</f>
        <v/>
      </c>
      <c r="GN5" s="201" t="str">
        <f>IF(GN2&lt;&gt;"",VLOOKUP(GN$2,CHOOSE({1,2},'Name List'!$B$3:$B$1000,'Name List'!#REF!),2,FALSE),"")</f>
        <v/>
      </c>
      <c r="GO5" s="201" t="str">
        <f>IF(GO2&lt;&gt;"",VLOOKUP(GO$2,CHOOSE({1,2},'Name List'!$B$3:$B$1000,'Name List'!#REF!),2,FALSE),"")</f>
        <v/>
      </c>
      <c r="GP5" s="201" t="str">
        <f>IF(GP2&lt;&gt;"",VLOOKUP(GP$2,CHOOSE({1,2},'Name List'!$B$3:$B$1000,'Name List'!#REF!),2,FALSE),"")</f>
        <v/>
      </c>
      <c r="GQ5" s="201" t="str">
        <f>IF(GQ2&lt;&gt;"",VLOOKUP(GQ$2,CHOOSE({1,2},'Name List'!$B$3:$B$1000,'Name List'!#REF!),2,FALSE),"")</f>
        <v/>
      </c>
      <c r="GR5" s="201" t="str">
        <f>IF(GR2&lt;&gt;"",VLOOKUP(GR$2,CHOOSE({1,2},'Name List'!$B$3:$B$1000,'Name List'!#REF!),2,FALSE),"")</f>
        <v/>
      </c>
      <c r="GS5" s="201" t="str">
        <f>IF(GS2&lt;&gt;"",VLOOKUP(GS$2,CHOOSE({1,2},'Name List'!$B$3:$B$1000,'Name List'!#REF!),2,FALSE),"")</f>
        <v/>
      </c>
      <c r="GT5" s="201" t="str">
        <f>IF(GT2&lt;&gt;"",VLOOKUP(GT$2,CHOOSE({1,2},'Name List'!$B$3:$B$1000,'Name List'!#REF!),2,FALSE),"")</f>
        <v/>
      </c>
      <c r="GU5" s="201" t="str">
        <f>IF(GU2&lt;&gt;"",VLOOKUP(GU$2,CHOOSE({1,2},'Name List'!$B$3:$B$1000,'Name List'!#REF!),2,FALSE),"")</f>
        <v/>
      </c>
      <c r="GV5" s="201" t="str">
        <f>IF(GV2&lt;&gt;"",VLOOKUP(GV$2,CHOOSE({1,2},'Name List'!$B$3:$B$1000,'Name List'!#REF!),2,FALSE),"")</f>
        <v/>
      </c>
      <c r="GW5" s="201" t="str">
        <f>IF(GW2&lt;&gt;"",VLOOKUP(GW$2,CHOOSE({1,2},'Name List'!$B$3:$B$1000,'Name List'!#REF!),2,FALSE),"")</f>
        <v/>
      </c>
      <c r="GX5" s="201" t="str">
        <f>IF(GX2&lt;&gt;"",VLOOKUP(GX$2,CHOOSE({1,2},'Name List'!$B$3:$B$1000,'Name List'!#REF!),2,FALSE),"")</f>
        <v/>
      </c>
      <c r="GY5" s="201" t="str">
        <f>IF(GY2&lt;&gt;"",VLOOKUP(GY$2,CHOOSE({1,2},'Name List'!$B$3:$B$1000,'Name List'!#REF!),2,FALSE),"")</f>
        <v/>
      </c>
      <c r="GZ5" s="201" t="str">
        <f>IF(GZ2&lt;&gt;"",VLOOKUP(GZ$2,CHOOSE({1,2},'Name List'!$B$3:$B$1000,'Name List'!#REF!),2,FALSE),"")</f>
        <v/>
      </c>
      <c r="HA5" s="201" t="str">
        <f>IF(HA2&lt;&gt;"",VLOOKUP(HA$2,CHOOSE({1,2},'Name List'!$B$3:$B$1000,'Name List'!#REF!),2,FALSE),"")</f>
        <v/>
      </c>
      <c r="HB5" s="201" t="str">
        <f>IF(HB2&lt;&gt;"",VLOOKUP(HB$2,CHOOSE({1,2},'Name List'!$B$3:$B$1000,'Name List'!#REF!),2,FALSE),"")</f>
        <v/>
      </c>
      <c r="HC5" s="201" t="str">
        <f>IF(HC2&lt;&gt;"",VLOOKUP(HC$2,CHOOSE({1,2},'Name List'!$B$3:$B$1000,'Name List'!#REF!),2,FALSE),"")</f>
        <v/>
      </c>
      <c r="HD5" s="201" t="str">
        <f>IF(HD2&lt;&gt;"",VLOOKUP(HD$2,CHOOSE({1,2},'Name List'!$B$3:$B$1000,'Name List'!#REF!),2,FALSE),"")</f>
        <v/>
      </c>
      <c r="HE5" s="201" t="str">
        <f>IF(HE2&lt;&gt;"",VLOOKUP(HE$2,CHOOSE({1,2},'Name List'!$B$3:$B$1000,'Name List'!#REF!),2,FALSE),"")</f>
        <v/>
      </c>
      <c r="HF5" s="201" t="str">
        <f>IF(HF2&lt;&gt;"",VLOOKUP(HF$2,CHOOSE({1,2},'Name List'!$B$3:$B$1000,'Name List'!#REF!),2,FALSE),"")</f>
        <v/>
      </c>
      <c r="HG5" s="201" t="str">
        <f>IF(HG2&lt;&gt;"",VLOOKUP(HG$2,CHOOSE({1,2},'Name List'!$B$3:$B$1000,'Name List'!#REF!),2,FALSE),"")</f>
        <v/>
      </c>
      <c r="HH5" s="201" t="str">
        <f>IF(HH2&lt;&gt;"",VLOOKUP(HH$2,CHOOSE({1,2},'Name List'!$B$3:$B$1000,'Name List'!#REF!),2,FALSE),"")</f>
        <v/>
      </c>
      <c r="HI5" s="201" t="str">
        <f>IF(HI2&lt;&gt;"",VLOOKUP(HI$2,CHOOSE({1,2},'Name List'!$B$3:$B$1000,'Name List'!#REF!),2,FALSE),"")</f>
        <v/>
      </c>
      <c r="HJ5" s="201" t="str">
        <f>IF(HJ2&lt;&gt;"",VLOOKUP(HJ$2,CHOOSE({1,2},'Name List'!$B$3:$B$1000,'Name List'!#REF!),2,FALSE),"")</f>
        <v/>
      </c>
      <c r="HK5" s="201" t="str">
        <f>IF(HK2&lt;&gt;"",VLOOKUP(HK$2,CHOOSE({1,2},'Name List'!$B$3:$B$1000,'Name List'!#REF!),2,FALSE),"")</f>
        <v/>
      </c>
      <c r="HL5" s="201" t="str">
        <f>IF(HL2&lt;&gt;"",VLOOKUP(HL$2,CHOOSE({1,2},'Name List'!$B$3:$B$1000,'Name List'!#REF!),2,FALSE),"")</f>
        <v/>
      </c>
      <c r="HM5" s="201" t="str">
        <f>IF(HM2&lt;&gt;"",VLOOKUP(HM$2,CHOOSE({1,2},'Name List'!$B$3:$B$1000,'Name List'!#REF!),2,FALSE),"")</f>
        <v/>
      </c>
      <c r="HN5" s="201" t="str">
        <f>IF(HN2&lt;&gt;"",VLOOKUP(HN$2,CHOOSE({1,2},'Name List'!$B$3:$B$1000,'Name List'!#REF!),2,FALSE),"")</f>
        <v/>
      </c>
    </row>
    <row r="6" spans="1:222" s="196" customFormat="1" ht="20.100000000000001" customHeight="1" thickBot="1" x14ac:dyDescent="0.35">
      <c r="B6" s="200" t="s">
        <v>302</v>
      </c>
      <c r="C6" s="198" t="e">
        <f>IF(C2&lt;&gt;"",VLOOKUP(C$2,CHOOSE({1,2},'Name List'!$B$3:$B$1000,'Name List'!$E$3:$E$1000),2,FALSE),"")</f>
        <v>#N/A</v>
      </c>
      <c r="D6" s="198">
        <f>IF(D2&lt;&gt;"",VLOOKUP(D$2,CHOOSE({1,2},'Name List'!$B$3:$B$1000,'Name List'!$E$3:$E$1000),2,FALSE),"")</f>
        <v>0</v>
      </c>
      <c r="E6" s="198">
        <f>IF(E2&lt;&gt;"",VLOOKUP(E$2,CHOOSE({1,2},'Name List'!$B$3:$B$1000,'Name List'!$E$3:$E$1000),2,FALSE),"")</f>
        <v>0</v>
      </c>
      <c r="F6" s="198" t="e">
        <f>IF(F2&lt;&gt;"",VLOOKUP(F$2,CHOOSE({1,2},'Name List'!$B$3:$B$1000,'Name List'!$E$3:$E$1000),2,FALSE),"")</f>
        <v>#N/A</v>
      </c>
      <c r="G6" s="198">
        <f>IF(G2&lt;&gt;"",VLOOKUP(G$2,CHOOSE({1,2},'Name List'!$B$3:$B$1000,'Name List'!$E$3:$E$1000),2,FALSE),"")</f>
        <v>0</v>
      </c>
      <c r="H6" s="198">
        <f>IF(H2&lt;&gt;"",VLOOKUP(H$2,CHOOSE({1,2},'Name List'!$B$3:$B$1000,'Name List'!$E$3:$E$1000),2,FALSE),"")</f>
        <v>0</v>
      </c>
      <c r="I6" s="198">
        <f>IF(I2&lt;&gt;"",VLOOKUP(I$2,CHOOSE({1,2},'Name List'!$B$3:$B$1000,'Name List'!$E$3:$E$1000),2,FALSE),"")</f>
        <v>0</v>
      </c>
      <c r="J6" s="198">
        <f>IF(J2&lt;&gt;"",VLOOKUP(J$2,CHOOSE({1,2},'Name List'!$B$3:$B$1000,'Name List'!$E$3:$E$1000),2,FALSE),"")</f>
        <v>0</v>
      </c>
      <c r="K6" s="198">
        <f>IF(K2&lt;&gt;"",VLOOKUP(K$2,CHOOSE({1,2},'Name List'!$B$3:$B$1000,'Name List'!$E$3:$E$1000),2,FALSE),"")</f>
        <v>0</v>
      </c>
      <c r="L6" s="198" t="e">
        <f>IF(L2&lt;&gt;"",VLOOKUP(L$2,CHOOSE({1,2},'Name List'!$B$3:$B$1000,'Name List'!$E$3:$E$1000),2,FALSE),"")</f>
        <v>#N/A</v>
      </c>
      <c r="M6" s="198" t="e">
        <f>IF(M2&lt;&gt;"",VLOOKUP(M$2,CHOOSE({1,2},'Name List'!$B$3:$B$1000,'Name List'!$E$3:$E$1000),2,FALSE),"")</f>
        <v>#N/A</v>
      </c>
      <c r="N6" s="198">
        <f>IF(N2&lt;&gt;"",VLOOKUP(N$2,CHOOSE({1,2},'Name List'!$B$3:$B$1000,'Name List'!$E$3:$E$1000),2,FALSE),"")</f>
        <v>0</v>
      </c>
      <c r="O6" s="198" t="e">
        <f>IF(O2&lt;&gt;"",VLOOKUP(O$2,CHOOSE({1,2},'Name List'!$B$3:$B$1000,'Name List'!$E$3:$E$1000),2,FALSE),"")</f>
        <v>#N/A</v>
      </c>
      <c r="P6" s="198" t="e">
        <f>IF(P2&lt;&gt;"",VLOOKUP(P$2,CHOOSE({1,2},'Name List'!$B$3:$B$1000,'Name List'!$E$3:$E$1000),2,FALSE),"")</f>
        <v>#N/A</v>
      </c>
      <c r="Q6" s="198">
        <f>IF(Q2&lt;&gt;"",VLOOKUP(Q$2,CHOOSE({1,2},'Name List'!$B$3:$B$1000,'Name List'!$E$3:$E$1000),2,FALSE),"")</f>
        <v>4</v>
      </c>
      <c r="R6" s="198" t="e">
        <f>IF(R2&lt;&gt;"",VLOOKUP(R$2,CHOOSE({1,2},'Name List'!$B$3:$B$1000,'Name List'!$E$3:$E$1000),2,FALSE),"")</f>
        <v>#N/A</v>
      </c>
      <c r="S6" s="198">
        <f>IF(S2&lt;&gt;"",VLOOKUP(S$2,CHOOSE({1,2},'Name List'!$B$3:$B$1000,'Name List'!$E$3:$E$1000),2,FALSE),"")</f>
        <v>0</v>
      </c>
      <c r="T6" s="198" t="e">
        <f>IF(T2&lt;&gt;"",VLOOKUP(T$2,CHOOSE({1,2},'Name List'!$B$3:$B$1000,'Name List'!$E$3:$E$1000),2,FALSE),"")</f>
        <v>#N/A</v>
      </c>
      <c r="U6" s="198">
        <f>IF(U2&lt;&gt;"",VLOOKUP(U$2,CHOOSE({1,2},'Name List'!$B$3:$B$1000,'Name List'!$E$3:$E$1000),2,FALSE),"")</f>
        <v>0</v>
      </c>
      <c r="V6" s="198">
        <f>IF(V2&lt;&gt;"",VLOOKUP(V$2,CHOOSE({1,2},'Name List'!$B$3:$B$1000,'Name List'!$E$3:$E$1000),2,FALSE),"")</f>
        <v>0</v>
      </c>
      <c r="W6" s="198">
        <f>IF(W2&lt;&gt;"",VLOOKUP(W$2,CHOOSE({1,2},'Name List'!$B$3:$B$1000,'Name List'!$E$3:$E$1000),2,FALSE),"")</f>
        <v>0</v>
      </c>
      <c r="X6" s="198">
        <f>IF(X2&lt;&gt;"",VLOOKUP(X$2,CHOOSE({1,2},'Name List'!$B$3:$B$1000,'Name List'!$E$3:$E$1000),2,FALSE),"")</f>
        <v>0</v>
      </c>
      <c r="Y6" s="198" t="e">
        <f>IF(Y2&lt;&gt;"",VLOOKUP(Y$2,CHOOSE({1,2},'Name List'!$B$3:$B$1000,'Name List'!$E$3:$E$1000),2,FALSE),"")</f>
        <v>#N/A</v>
      </c>
      <c r="Z6" s="198" t="e">
        <f>IF(Z2&lt;&gt;"",VLOOKUP(Z$2,CHOOSE({1,2},'Name List'!$B$3:$B$1000,'Name List'!$E$3:$E$1000),2,FALSE),"")</f>
        <v>#N/A</v>
      </c>
      <c r="AA6" s="198" t="e">
        <f>IF(AA2&lt;&gt;"",VLOOKUP(AA$2,CHOOSE({1,2},'Name List'!$B$3:$B$1000,'Name List'!$E$3:$E$1000),2,FALSE),"")</f>
        <v>#N/A</v>
      </c>
      <c r="AB6" s="198" t="e">
        <f>IF(AB2&lt;&gt;"",VLOOKUP(AB$2,CHOOSE({1,2},'Name List'!$B$3:$B$1000,'Name List'!$E$3:$E$1000),2,FALSE),"")</f>
        <v>#N/A</v>
      </c>
      <c r="AC6" s="198">
        <f>IF(AC2&lt;&gt;"",VLOOKUP(AC$2,CHOOSE({1,2},'Name List'!$B$3:$B$1000,'Name List'!$E$3:$E$1000),2,FALSE),"")</f>
        <v>0</v>
      </c>
      <c r="AD6" s="198">
        <f>IF(AD2&lt;&gt;"",VLOOKUP(AD$2,CHOOSE({1,2},'Name List'!$B$3:$B$1000,'Name List'!$E$3:$E$1000),2,FALSE),"")</f>
        <v>0</v>
      </c>
      <c r="AE6" s="198" t="e">
        <f>IF(AE2&lt;&gt;"",VLOOKUP(AE$2,CHOOSE({1,2},'Name List'!$B$3:$B$1000,'Name List'!$E$3:$E$1000),2,FALSE),"")</f>
        <v>#N/A</v>
      </c>
      <c r="AF6" s="198" t="e">
        <f>IF(AF2&lt;&gt;"",VLOOKUP(AF$2,CHOOSE({1,2},'Name List'!$B$3:$B$1000,'Name List'!$E$3:$E$1000),2,FALSE),"")</f>
        <v>#N/A</v>
      </c>
      <c r="AG6" s="198" t="e">
        <f>IF(AG2&lt;&gt;"",VLOOKUP(AG$2,CHOOSE({1,2},'Name List'!$B$3:$B$1000,'Name List'!$E$3:$E$1000),2,FALSE),"")</f>
        <v>#N/A</v>
      </c>
      <c r="AH6" s="198" t="e">
        <f>IF(AH2&lt;&gt;"",VLOOKUP(AH$2,CHOOSE({1,2},'Name List'!$B$3:$B$1000,'Name List'!$E$3:$E$1000),2,FALSE),"")</f>
        <v>#N/A</v>
      </c>
      <c r="AI6" s="198">
        <f>IF(AI2&lt;&gt;"",VLOOKUP(AI$2,CHOOSE({1,2},'Name List'!$B$3:$B$1000,'Name List'!$E$3:$E$1000),2,FALSE),"")</f>
        <v>0</v>
      </c>
      <c r="AJ6" s="198" t="e">
        <f>IF(AJ2&lt;&gt;"",VLOOKUP(AJ$2,CHOOSE({1,2},'Name List'!$B$3:$B$1000,'Name List'!$E$3:$E$1000),2,FALSE),"")</f>
        <v>#N/A</v>
      </c>
      <c r="AK6" s="198">
        <f>IF(AK2&lt;&gt;"",VLOOKUP(AK$2,CHOOSE({1,2},'Name List'!$B$3:$B$1000,'Name List'!$E$3:$E$1000),2,FALSE),"")</f>
        <v>0</v>
      </c>
      <c r="AL6" s="198">
        <f>IF(AL2&lt;&gt;"",VLOOKUP(AL$2,CHOOSE({1,2},'Name List'!$B$3:$B$1000,'Name List'!$E$3:$E$1000),2,FALSE),"")</f>
        <v>0</v>
      </c>
      <c r="AM6" s="198">
        <f>IF(AM2&lt;&gt;"",VLOOKUP(AM$2,CHOOSE({1,2},'Name List'!$B$3:$B$1000,'Name List'!$E$3:$E$1000),2,FALSE),"")</f>
        <v>0</v>
      </c>
      <c r="AN6" s="198">
        <f>IF(AN2&lt;&gt;"",VLOOKUP(AN$2,CHOOSE({1,2},'Name List'!$B$3:$B$1000,'Name List'!$E$3:$E$1000),2,FALSE),"")</f>
        <v>0</v>
      </c>
      <c r="AO6" s="198">
        <f>IF(AO2&lt;&gt;"",VLOOKUP(AO$2,CHOOSE({1,2},'Name List'!$B$3:$B$1000,'Name List'!$E$3:$E$1000),2,FALSE),"")</f>
        <v>0</v>
      </c>
      <c r="AP6" s="198">
        <f>IF(AP2&lt;&gt;"",VLOOKUP(AP$2,CHOOSE({1,2},'Name List'!$B$3:$B$1000,'Name List'!$E$3:$E$1000),2,FALSE),"")</f>
        <v>0</v>
      </c>
      <c r="AQ6" s="198">
        <f>IF(AQ2&lt;&gt;"",VLOOKUP(AQ$2,CHOOSE({1,2},'Name List'!$B$3:$B$1000,'Name List'!$E$3:$E$1000),2,FALSE),"")</f>
        <v>0</v>
      </c>
      <c r="AR6" s="198">
        <f>IF(AR2&lt;&gt;"",VLOOKUP(AR$2,CHOOSE({1,2},'Name List'!$B$3:$B$1000,'Name List'!$E$3:$E$1000),2,FALSE),"")</f>
        <v>0</v>
      </c>
      <c r="AS6" s="198">
        <f>IF(AS2&lt;&gt;"",VLOOKUP(AS$2,CHOOSE({1,2},'Name List'!$B$3:$B$1000,'Name List'!$E$3:$E$1000),2,FALSE),"")</f>
        <v>0</v>
      </c>
      <c r="AT6" s="198">
        <f>IF(AT2&lt;&gt;"",VLOOKUP(AT$2,CHOOSE({1,2},'Name List'!$B$3:$B$1000,'Name List'!$E$3:$E$1000),2,FALSE),"")</f>
        <v>0</v>
      </c>
      <c r="AU6" s="198">
        <f>IF(AU2&lt;&gt;"",VLOOKUP(AU$2,CHOOSE({1,2},'Name List'!$B$3:$B$1000,'Name List'!$E$3:$E$1000),2,FALSE),"")</f>
        <v>0</v>
      </c>
      <c r="AV6" s="198" t="e">
        <f>IF(AV2&lt;&gt;"",VLOOKUP(AV$2,CHOOSE({1,2},'Name List'!$B$3:$B$1000,'Name List'!$E$3:$E$1000),2,FALSE),"")</f>
        <v>#N/A</v>
      </c>
      <c r="AW6" s="198">
        <f>IF(AW2&lt;&gt;"",VLOOKUP(AW$2,CHOOSE({1,2},'Name List'!$B$3:$B$1000,'Name List'!$E$3:$E$1000),2,FALSE),"")</f>
        <v>0</v>
      </c>
      <c r="AX6" s="198" t="e">
        <f>IF(AX2&lt;&gt;"",VLOOKUP(AX$2,CHOOSE({1,2},'Name List'!$B$3:$B$1000,'Name List'!$E$3:$E$1000),2,FALSE),"")</f>
        <v>#N/A</v>
      </c>
      <c r="AY6" s="198" t="e">
        <f>IF(AY2&lt;&gt;"",VLOOKUP(AY$2,CHOOSE({1,2},'Name List'!$B$3:$B$1000,'Name List'!$E$3:$E$1000),2,FALSE),"")</f>
        <v>#N/A</v>
      </c>
      <c r="AZ6" s="198">
        <f>IF(AZ2&lt;&gt;"",VLOOKUP(AZ$2,CHOOSE({1,2},'Name List'!$B$3:$B$1000,'Name List'!$E$3:$E$1000),2,FALSE),"")</f>
        <v>0</v>
      </c>
      <c r="BA6" s="198" t="e">
        <f>IF(BA2&lt;&gt;"",VLOOKUP(BA$2,CHOOSE({1,2},'Name List'!$B$3:$B$1000,'Name List'!$E$3:$E$1000),2,FALSE),"")</f>
        <v>#N/A</v>
      </c>
      <c r="BB6" s="198" t="e">
        <f>IF(BB2&lt;&gt;"",VLOOKUP(BB$2,CHOOSE({1,2},'Name List'!$B$3:$B$1000,'Name List'!$E$3:$E$1000),2,FALSE),"")</f>
        <v>#N/A</v>
      </c>
      <c r="BC6" s="198">
        <f>IF(BC2&lt;&gt;"",VLOOKUP(BC$2,CHOOSE({1,2},'Name List'!$B$3:$B$1000,'Name List'!$E$3:$E$1000),2,FALSE),"")</f>
        <v>0</v>
      </c>
      <c r="BD6" s="198">
        <f>IF(BD2&lt;&gt;"",VLOOKUP(BD$2,CHOOSE({1,2},'Name List'!$B$3:$B$1000,'Name List'!$E$3:$E$1000),2,FALSE),"")</f>
        <v>0</v>
      </c>
      <c r="BE6" s="198">
        <f>IF(BE2&lt;&gt;"",VLOOKUP(BE$2,CHOOSE({1,2},'Name List'!$B$3:$B$1000,'Name List'!$E$3:$E$1000),2,FALSE),"")</f>
        <v>0</v>
      </c>
      <c r="BF6" s="198">
        <f>IF(BF2&lt;&gt;"",VLOOKUP(BF$2,CHOOSE({1,2},'Name List'!$B$3:$B$1000,'Name List'!$E$3:$E$1000),2,FALSE),"")</f>
        <v>0</v>
      </c>
      <c r="BG6" s="198" t="e">
        <f>IF(BG2&lt;&gt;"",VLOOKUP(BG$2,CHOOSE({1,2},'Name List'!$B$3:$B$1000,'Name List'!$E$3:$E$1000),2,FALSE),"")</f>
        <v>#N/A</v>
      </c>
      <c r="BH6" s="198">
        <f>IF(BH2&lt;&gt;"",VLOOKUP(BH$2,CHOOSE({1,2},'Name List'!$B$3:$B$1000,'Name List'!$E$3:$E$1000),2,FALSE),"")</f>
        <v>0</v>
      </c>
      <c r="BI6" s="198">
        <f>IF(BI2&lt;&gt;"",VLOOKUP(BI$2,CHOOSE({1,2},'Name List'!$B$3:$B$1000,'Name List'!$E$3:$E$1000),2,FALSE),"")</f>
        <v>0</v>
      </c>
      <c r="BJ6" s="198" t="e">
        <f>IF(BJ2&lt;&gt;"",VLOOKUP(BJ$2,CHOOSE({1,2},'Name List'!$B$3:$B$1000,'Name List'!$E$3:$E$1000),2,FALSE),"")</f>
        <v>#N/A</v>
      </c>
      <c r="BK6" s="198">
        <f>IF(BK2&lt;&gt;"",VLOOKUP(BK$2,CHOOSE({1,2},'Name List'!$B$3:$B$1000,'Name List'!$E$3:$E$1000),2,FALSE),"")</f>
        <v>0</v>
      </c>
      <c r="BL6" s="198">
        <f>IF(BL2&lt;&gt;"",VLOOKUP(BL$2,CHOOSE({1,2},'Name List'!$B$3:$B$1000,'Name List'!$E$3:$E$1000),2,FALSE),"")</f>
        <v>0</v>
      </c>
      <c r="BM6" s="198">
        <f>IF(BM2&lt;&gt;"",VLOOKUP(BM$2,CHOOSE({1,2},'Name List'!$B$3:$B$1000,'Name List'!$E$3:$E$1000),2,FALSE),"")</f>
        <v>0</v>
      </c>
      <c r="BN6" s="198" t="e">
        <f>IF(BN2&lt;&gt;"",VLOOKUP(BN$2,CHOOSE({1,2},'Name List'!$B$3:$B$1000,'Name List'!$E$3:$E$1000),2,FALSE),"")</f>
        <v>#N/A</v>
      </c>
      <c r="BO6" s="198">
        <f>IF(BO2&lt;&gt;"",VLOOKUP(BO$2,CHOOSE({1,2},'Name List'!$B$3:$B$1000,'Name List'!$E$3:$E$1000),2,FALSE),"")</f>
        <v>0</v>
      </c>
      <c r="BP6" s="198" t="e">
        <f>IF(BP2&lt;&gt;"",VLOOKUP(BP$2,CHOOSE({1,2},'Name List'!$B$3:$B$1000,'Name List'!$E$3:$E$1000),2,FALSE),"")</f>
        <v>#N/A</v>
      </c>
      <c r="BQ6" s="198">
        <f>IF(BQ2&lt;&gt;"",VLOOKUP(BQ$2,CHOOSE({1,2},'Name List'!$B$3:$B$1000,'Name List'!$E$3:$E$1000),2,FALSE),"")</f>
        <v>0</v>
      </c>
      <c r="BR6" s="198">
        <f>IF(BR2&lt;&gt;"",VLOOKUP(BR$2,CHOOSE({1,2},'Name List'!$B$3:$B$1000,'Name List'!$E$3:$E$1000),2,FALSE),"")</f>
        <v>0</v>
      </c>
      <c r="BS6" s="198">
        <f>IF(BS2&lt;&gt;"",VLOOKUP(BS$2,CHOOSE({1,2},'Name List'!$B$3:$B$1000,'Name List'!$E$3:$E$1000),2,FALSE),"")</f>
        <v>0</v>
      </c>
      <c r="BT6" s="198">
        <f>IF(BT2&lt;&gt;"",VLOOKUP(BT$2,CHOOSE({1,2},'Name List'!$B$3:$B$1000,'Name List'!$E$3:$E$1000),2,FALSE),"")</f>
        <v>0</v>
      </c>
      <c r="BU6" s="198">
        <f>IF(BU2&lt;&gt;"",VLOOKUP(BU$2,CHOOSE({1,2},'Name List'!$B$3:$B$1000,'Name List'!$E$3:$E$1000),2,FALSE),"")</f>
        <v>0</v>
      </c>
      <c r="BV6" s="198">
        <f>IF(BV2&lt;&gt;"",VLOOKUP(BV$2,CHOOSE({1,2},'Name List'!$B$3:$B$1000,'Name List'!$E$3:$E$1000),2,FALSE),"")</f>
        <v>0</v>
      </c>
      <c r="BW6" s="198">
        <f>IF(BW2&lt;&gt;"",VLOOKUP(BW$2,CHOOSE({1,2},'Name List'!$B$3:$B$1000,'Name List'!$E$3:$E$1000),2,FALSE),"")</f>
        <v>0</v>
      </c>
      <c r="BX6" s="198">
        <f>IF(BX2&lt;&gt;"",VLOOKUP(BX$2,CHOOSE({1,2},'Name List'!$B$3:$B$1000,'Name List'!$E$3:$E$1000),2,FALSE),"")</f>
        <v>0</v>
      </c>
      <c r="BY6" s="198" t="e">
        <f>IF(BY2&lt;&gt;"",VLOOKUP(BY$2,CHOOSE({1,2},'Name List'!$B$3:$B$1000,'Name List'!$E$3:$E$1000),2,FALSE),"")</f>
        <v>#N/A</v>
      </c>
      <c r="BZ6" s="198" t="e">
        <f>IF(BZ2&lt;&gt;"",VLOOKUP(BZ$2,CHOOSE({1,2},'Name List'!$B$3:$B$1000,'Name List'!$E$3:$E$1000),2,FALSE),"")</f>
        <v>#N/A</v>
      </c>
      <c r="CA6" s="198" t="e">
        <f>IF(CA2&lt;&gt;"",VLOOKUP(CA$2,CHOOSE({1,2},'Name List'!$B$3:$B$1000,'Name List'!$E$3:$E$1000),2,FALSE),"")</f>
        <v>#N/A</v>
      </c>
      <c r="CB6" s="198" t="e">
        <f>IF(CB2&lt;&gt;"",VLOOKUP(CB$2,CHOOSE({1,2},'Name List'!$B$3:$B$1000,'Name List'!$E$3:$E$1000),2,FALSE),"")</f>
        <v>#N/A</v>
      </c>
      <c r="CC6" s="198" t="e">
        <f>IF(CC2&lt;&gt;"",VLOOKUP(CC$2,CHOOSE({1,2},'Name List'!$B$3:$B$1000,'Name List'!$E$3:$E$1000),2,FALSE),"")</f>
        <v>#N/A</v>
      </c>
      <c r="CD6" s="198" t="e">
        <f>IF(CD2&lt;&gt;"",VLOOKUP(CD$2,CHOOSE({1,2},'Name List'!$B$3:$B$1000,'Name List'!$E$3:$E$1000),2,FALSE),"")</f>
        <v>#N/A</v>
      </c>
      <c r="CE6" s="198" t="e">
        <f>IF(CE2&lt;&gt;"",VLOOKUP(CE$2,CHOOSE({1,2},'Name List'!$B$3:$B$1000,'Name List'!$E$3:$E$1000),2,FALSE),"")</f>
        <v>#N/A</v>
      </c>
      <c r="CF6" s="198" t="e">
        <f>IF(CF2&lt;&gt;"",VLOOKUP(CF$2,CHOOSE({1,2},'Name List'!$B$3:$B$1000,'Name List'!$E$3:$E$1000),2,FALSE),"")</f>
        <v>#N/A</v>
      </c>
      <c r="CG6" s="198" t="e">
        <f>IF(CG2&lt;&gt;"",VLOOKUP(CG$2,CHOOSE({1,2},'Name List'!$B$3:$B$1000,'Name List'!$E$3:$E$1000),2,FALSE),"")</f>
        <v>#N/A</v>
      </c>
      <c r="CH6" s="198" t="e">
        <f>IF(CH2&lt;&gt;"",VLOOKUP(CH$2,CHOOSE({1,2},'Name List'!$B$3:$B$1000,'Name List'!$E$3:$E$1000),2,FALSE),"")</f>
        <v>#N/A</v>
      </c>
      <c r="CI6" s="198" t="e">
        <f>IF(CI2&lt;&gt;"",VLOOKUP(CI$2,CHOOSE({1,2},'Name List'!$B$3:$B$1000,'Name List'!$E$3:$E$1000),2,FALSE),"")</f>
        <v>#N/A</v>
      </c>
      <c r="CJ6" s="198" t="e">
        <f>IF(CJ2&lt;&gt;"",VLOOKUP(CJ$2,CHOOSE({1,2},'Name List'!$B$3:$B$1000,'Name List'!$E$3:$E$1000),2,FALSE),"")</f>
        <v>#N/A</v>
      </c>
      <c r="CK6" s="198" t="e">
        <f>IF(CK2&lt;&gt;"",VLOOKUP(CK$2,CHOOSE({1,2},'Name List'!$B$3:$B$1000,'Name List'!$E$3:$E$1000),2,FALSE),"")</f>
        <v>#N/A</v>
      </c>
      <c r="CL6" s="198" t="e">
        <f>IF(CL2&lt;&gt;"",VLOOKUP(CL$2,CHOOSE({1,2},'Name List'!$B$3:$B$1000,'Name List'!$E$3:$E$1000),2,FALSE),"")</f>
        <v>#N/A</v>
      </c>
      <c r="CM6" s="198">
        <f>IF(CM2&lt;&gt;"",VLOOKUP(CM$2,CHOOSE({1,2},'Name List'!$B$3:$B$1000,'Name List'!$E$3:$E$1000),2,FALSE),"")</f>
        <v>0</v>
      </c>
      <c r="CN6" s="198" t="e">
        <f>IF(CN2&lt;&gt;"",VLOOKUP(CN$2,CHOOSE({1,2},'Name List'!$B$3:$B$1000,'Name List'!$E$3:$E$1000),2,FALSE),"")</f>
        <v>#N/A</v>
      </c>
      <c r="CO6" s="198" t="str">
        <f>IF(CO2&lt;&gt;"",VLOOKUP(CO$2,CHOOSE({1,2},'Name List'!$B$3:$B$1000,'Name List'!$E$3:$E$1000),2,FALSE),"")</f>
        <v/>
      </c>
      <c r="CP6" s="198" t="str">
        <f>IF(CP2&lt;&gt;"",VLOOKUP(CP$2,CHOOSE({1,2},'Name List'!$B$3:$B$1000,'Name List'!$E$3:$E$1000),2,FALSE),"")</f>
        <v/>
      </c>
      <c r="CQ6" s="198" t="str">
        <f>IF(CQ2&lt;&gt;"",VLOOKUP(CQ$2,CHOOSE({1,2},'Name List'!$B$3:$B$1000,'Name List'!$E$3:$E$1000),2,FALSE),"")</f>
        <v/>
      </c>
      <c r="CR6" s="198" t="str">
        <f>IF(CR2&lt;&gt;"",VLOOKUP(CR$2,CHOOSE({1,2},'Name List'!$B$3:$B$1000,'Name List'!$E$3:$E$1000),2,FALSE),"")</f>
        <v/>
      </c>
      <c r="CS6" s="198" t="str">
        <f>IF(CS2&lt;&gt;"",VLOOKUP(CS$2,CHOOSE({1,2},'Name List'!$B$3:$B$1000,'Name List'!$E$3:$E$1000),2,FALSE),"")</f>
        <v/>
      </c>
      <c r="CT6" s="198" t="str">
        <f>IF(CT2&lt;&gt;"",VLOOKUP(CT$2,CHOOSE({1,2},'Name List'!$B$3:$B$1000,'Name List'!$E$3:$E$1000),2,FALSE),"")</f>
        <v/>
      </c>
      <c r="CU6" s="198" t="str">
        <f>IF(CU2&lt;&gt;"",VLOOKUP(CU$2,CHOOSE({1,2},'Name List'!$B$3:$B$1000,'Name List'!$E$3:$E$1000),2,FALSE),"")</f>
        <v/>
      </c>
      <c r="CV6" s="198" t="str">
        <f>IF(CV2&lt;&gt;"",VLOOKUP(CV$2,CHOOSE({1,2},'Name List'!$B$3:$B$1000,'Name List'!$E$3:$E$1000),2,FALSE),"")</f>
        <v/>
      </c>
      <c r="CW6" s="198" t="str">
        <f>IF(CW2&lt;&gt;"",VLOOKUP(CW$2,CHOOSE({1,2},'Name List'!$B$3:$B$1000,'Name List'!$E$3:$E$1000),2,FALSE),"")</f>
        <v/>
      </c>
      <c r="CX6" s="198" t="str">
        <f>IF(CX2&lt;&gt;"",VLOOKUP(CX$2,CHOOSE({1,2},'Name List'!$B$3:$B$1000,'Name List'!$E$3:$E$1000),2,FALSE),"")</f>
        <v/>
      </c>
      <c r="CY6" s="198" t="str">
        <f>IF(CY2&lt;&gt;"",VLOOKUP(CY$2,CHOOSE({1,2},'Name List'!$B$3:$B$1000,'Name List'!$E$3:$E$1000),2,FALSE),"")</f>
        <v/>
      </c>
      <c r="CZ6" s="198" t="str">
        <f>IF(CZ2&lt;&gt;"",VLOOKUP(CZ$2,CHOOSE({1,2},'Name List'!$B$3:$B$1000,'Name List'!$E$3:$E$1000),2,FALSE),"")</f>
        <v/>
      </c>
      <c r="DA6" s="198" t="str">
        <f>IF(DA2&lt;&gt;"",VLOOKUP(DA$2,CHOOSE({1,2},'Name List'!$B$3:$B$1000,'Name List'!$E$3:$E$1000),2,FALSE),"")</f>
        <v/>
      </c>
      <c r="DB6" s="198" t="str">
        <f>IF(DB2&lt;&gt;"",VLOOKUP(DB$2,CHOOSE({1,2},'Name List'!$B$3:$B$1000,'Name List'!$E$3:$E$1000),2,FALSE),"")</f>
        <v/>
      </c>
      <c r="DC6" s="198" t="str">
        <f>IF(DC2&lt;&gt;"",VLOOKUP(DC$2,CHOOSE({1,2},'Name List'!$B$3:$B$1000,'Name List'!$E$3:$E$1000),2,FALSE),"")</f>
        <v/>
      </c>
      <c r="DD6" s="198" t="str">
        <f>IF(DD2&lt;&gt;"",VLOOKUP(DD$2,CHOOSE({1,2},'Name List'!$B$3:$B$1000,'Name List'!$E$3:$E$1000),2,FALSE),"")</f>
        <v/>
      </c>
      <c r="DE6" s="198" t="str">
        <f>IF(DE2&lt;&gt;"",VLOOKUP(DE$2,CHOOSE({1,2},'Name List'!$B$3:$B$1000,'Name List'!$E$3:$E$1000),2,FALSE),"")</f>
        <v/>
      </c>
      <c r="DF6" s="198" t="str">
        <f>IF(DF2&lt;&gt;"",VLOOKUP(DF$2,CHOOSE({1,2},'Name List'!$B$3:$B$1000,'Name List'!$E$3:$E$1000),2,FALSE),"")</f>
        <v/>
      </c>
      <c r="DG6" s="198" t="str">
        <f>IF(DG2&lt;&gt;"",VLOOKUP(DG$2,CHOOSE({1,2},'Name List'!$B$3:$B$1000,'Name List'!$E$3:$E$1000),2,FALSE),"")</f>
        <v/>
      </c>
      <c r="DH6" s="198" t="str">
        <f>IF(DH2&lt;&gt;"",VLOOKUP(DH$2,CHOOSE({1,2},'Name List'!$B$3:$B$1000,'Name List'!$E$3:$E$1000),2,FALSE),"")</f>
        <v/>
      </c>
      <c r="DI6" s="198" t="str">
        <f>IF(DI2&lt;&gt;"",VLOOKUP(DI$2,CHOOSE({1,2},'Name List'!$B$3:$B$1000,'Name List'!$E$3:$E$1000),2,FALSE),"")</f>
        <v/>
      </c>
      <c r="DJ6" s="198" t="str">
        <f>IF(DJ2&lt;&gt;"",VLOOKUP(DJ$2,CHOOSE({1,2},'Name List'!$B$3:$B$1000,'Name List'!$E$3:$E$1000),2,FALSE),"")</f>
        <v/>
      </c>
      <c r="DK6" s="198" t="str">
        <f>IF(DK2&lt;&gt;"",VLOOKUP(DK$2,CHOOSE({1,2},'Name List'!$B$3:$B$1000,'Name List'!$E$3:$E$1000),2,FALSE),"")</f>
        <v/>
      </c>
      <c r="DL6" s="198" t="str">
        <f>IF(DL2&lt;&gt;"",VLOOKUP(DL$2,CHOOSE({1,2},'Name List'!$B$3:$B$1000,'Name List'!$E$3:$E$1000),2,FALSE),"")</f>
        <v/>
      </c>
      <c r="DM6" s="198" t="str">
        <f>IF(DM2&lt;&gt;"",VLOOKUP(DM$2,CHOOSE({1,2},'Name List'!$B$3:$B$1000,'Name List'!$E$3:$E$1000),2,FALSE),"")</f>
        <v/>
      </c>
      <c r="DN6" s="198" t="str">
        <f>IF(DN2&lt;&gt;"",VLOOKUP(DN$2,CHOOSE({1,2},'Name List'!$B$3:$B$1000,'Name List'!$E$3:$E$1000),2,FALSE),"")</f>
        <v/>
      </c>
      <c r="DO6" s="198" t="str">
        <f>IF(DO2&lt;&gt;"",VLOOKUP(DO$2,CHOOSE({1,2},'Name List'!$B$3:$B$1000,'Name List'!$E$3:$E$1000),2,FALSE),"")</f>
        <v/>
      </c>
      <c r="DP6" s="198" t="str">
        <f>IF(DP2&lt;&gt;"",VLOOKUP(DP$2,CHOOSE({1,2},'Name List'!$B$3:$B$1000,'Name List'!$E$3:$E$1000),2,FALSE),"")</f>
        <v/>
      </c>
      <c r="DQ6" s="198" t="str">
        <f>IF(DQ2&lt;&gt;"",VLOOKUP(DQ$2,CHOOSE({1,2},'Name List'!$B$3:$B$1000,'Name List'!$E$3:$E$1000),2,FALSE),"")</f>
        <v/>
      </c>
      <c r="DR6" s="198" t="str">
        <f>IF(DR2&lt;&gt;"",VLOOKUP(DR$2,CHOOSE({1,2},'Name List'!$B$3:$B$1000,'Name List'!$E$3:$E$1000),2,FALSE),"")</f>
        <v/>
      </c>
      <c r="DS6" s="198" t="str">
        <f>IF(DS2&lt;&gt;"",VLOOKUP(DS$2,CHOOSE({1,2},'Name List'!$B$3:$B$1000,'Name List'!$E$3:$E$1000),2,FALSE),"")</f>
        <v/>
      </c>
      <c r="DT6" s="198" t="str">
        <f>IF(DT2&lt;&gt;"",VLOOKUP(DT$2,CHOOSE({1,2},'Name List'!$B$3:$B$1000,'Name List'!$E$3:$E$1000),2,FALSE),"")</f>
        <v/>
      </c>
      <c r="DU6" s="198" t="str">
        <f>IF(DU2&lt;&gt;"",VLOOKUP(DU$2,CHOOSE({1,2},'Name List'!$B$3:$B$1000,'Name List'!$E$3:$E$1000),2,FALSE),"")</f>
        <v/>
      </c>
      <c r="DV6" s="198" t="str">
        <f>IF(DV2&lt;&gt;"",VLOOKUP(DV$2,CHOOSE({1,2},'Name List'!$B$3:$B$1000,'Name List'!$E$3:$E$1000),2,FALSE),"")</f>
        <v/>
      </c>
      <c r="DW6" s="198" t="str">
        <f>IF(DW2&lt;&gt;"",VLOOKUP(DW$2,CHOOSE({1,2},'Name List'!$B$3:$B$1000,'Name List'!$E$3:$E$1000),2,FALSE),"")</f>
        <v/>
      </c>
      <c r="DX6" s="198" t="str">
        <f>IF(DX2&lt;&gt;"",VLOOKUP(DX$2,CHOOSE({1,2},'Name List'!$B$3:$B$1000,'Name List'!$E$3:$E$1000),2,FALSE),"")</f>
        <v/>
      </c>
      <c r="DY6" s="198" t="str">
        <f>IF(DY2&lt;&gt;"",VLOOKUP(DY$2,CHOOSE({1,2},'Name List'!$B$3:$B$1000,'Name List'!$E$3:$E$1000),2,FALSE),"")</f>
        <v/>
      </c>
      <c r="DZ6" s="198" t="str">
        <f>IF(DZ2&lt;&gt;"",VLOOKUP(DZ$2,CHOOSE({1,2},'Name List'!$B$3:$B$1000,'Name List'!$E$3:$E$1000),2,FALSE),"")</f>
        <v/>
      </c>
      <c r="EA6" s="198" t="str">
        <f>IF(EA2&lt;&gt;"",VLOOKUP(EA$2,CHOOSE({1,2},'Name List'!$B$3:$B$1000,'Name List'!$E$3:$E$1000),2,FALSE),"")</f>
        <v/>
      </c>
      <c r="EB6" s="198" t="str">
        <f>IF(EB2&lt;&gt;"",VLOOKUP(EB$2,CHOOSE({1,2},'Name List'!$B$3:$B$1000,'Name List'!$E$3:$E$1000),2,FALSE),"")</f>
        <v/>
      </c>
      <c r="EC6" s="198" t="str">
        <f>IF(EC2&lt;&gt;"",VLOOKUP(EC$2,CHOOSE({1,2},'Name List'!$B$3:$B$1000,'Name List'!$E$3:$E$1000),2,FALSE),"")</f>
        <v/>
      </c>
      <c r="ED6" s="198" t="str">
        <f>IF(ED2&lt;&gt;"",VLOOKUP(ED$2,CHOOSE({1,2},'Name List'!$B$3:$B$1000,'Name List'!$E$3:$E$1000),2,FALSE),"")</f>
        <v/>
      </c>
      <c r="EE6" s="198" t="str">
        <f>IF(EE2&lt;&gt;"",VLOOKUP(EE$2,CHOOSE({1,2},'Name List'!$B$3:$B$1000,'Name List'!$E$3:$E$1000),2,FALSE),"")</f>
        <v/>
      </c>
      <c r="EF6" s="198" t="str">
        <f>IF(EF2&lt;&gt;"",VLOOKUP(EF$2,CHOOSE({1,2},'Name List'!$B$3:$B$1000,'Name List'!$E$3:$E$1000),2,FALSE),"")</f>
        <v/>
      </c>
      <c r="EG6" s="198" t="str">
        <f>IF(EG2&lt;&gt;"",VLOOKUP(EG$2,CHOOSE({1,2},'Name List'!$B$3:$B$1000,'Name List'!$E$3:$E$1000),2,FALSE),"")</f>
        <v/>
      </c>
      <c r="EH6" s="198" t="str">
        <f>IF(EH2&lt;&gt;"",VLOOKUP(EH$2,CHOOSE({1,2},'Name List'!$B$3:$B$1000,'Name List'!$E$3:$E$1000),2,FALSE),"")</f>
        <v/>
      </c>
      <c r="EI6" s="198" t="str">
        <f>IF(EI2&lt;&gt;"",VLOOKUP(EI$2,CHOOSE({1,2},'Name List'!$B$3:$B$1000,'Name List'!$E$3:$E$1000),2,FALSE),"")</f>
        <v/>
      </c>
      <c r="EJ6" s="198" t="str">
        <f>IF(EJ2&lt;&gt;"",VLOOKUP(EJ$2,CHOOSE({1,2},'Name List'!$B$3:$B$1000,'Name List'!$E$3:$E$1000),2,FALSE),"")</f>
        <v/>
      </c>
      <c r="EK6" s="198" t="str">
        <f>IF(EK2&lt;&gt;"",VLOOKUP(EK$2,CHOOSE({1,2},'Name List'!$B$3:$B$1000,'Name List'!$E$3:$E$1000),2,FALSE),"")</f>
        <v/>
      </c>
      <c r="EL6" s="198" t="str">
        <f>IF(EL2&lt;&gt;"",VLOOKUP(EL$2,CHOOSE({1,2},'Name List'!$B$3:$B$1000,'Name List'!$E$3:$E$1000),2,FALSE),"")</f>
        <v/>
      </c>
      <c r="EM6" s="198" t="str">
        <f>IF(EM2&lt;&gt;"",VLOOKUP(EM$2,CHOOSE({1,2},'Name List'!$B$3:$B$1000,'Name List'!$E$3:$E$1000),2,FALSE),"")</f>
        <v/>
      </c>
      <c r="EN6" s="198" t="str">
        <f>IF(EN2&lt;&gt;"",VLOOKUP(EN$2,CHOOSE({1,2},'Name List'!$B$3:$B$1000,'Name List'!$E$3:$E$1000),2,FALSE),"")</f>
        <v/>
      </c>
      <c r="EO6" s="198" t="str">
        <f>IF(EO2&lt;&gt;"",VLOOKUP(EO$2,CHOOSE({1,2},'Name List'!$B$3:$B$1000,'Name List'!$E$3:$E$1000),2,FALSE),"")</f>
        <v/>
      </c>
      <c r="EP6" s="198" t="str">
        <f>IF(EP2&lt;&gt;"",VLOOKUP(EP$2,CHOOSE({1,2},'Name List'!$B$3:$B$1000,'Name List'!$E$3:$E$1000),2,FALSE),"")</f>
        <v/>
      </c>
      <c r="EQ6" s="198" t="str">
        <f>IF(EQ2&lt;&gt;"",VLOOKUP(EQ$2,CHOOSE({1,2},'Name List'!$B$3:$B$1000,'Name List'!$E$3:$E$1000),2,FALSE),"")</f>
        <v/>
      </c>
      <c r="ER6" s="198" t="str">
        <f>IF(ER2&lt;&gt;"",VLOOKUP(ER$2,CHOOSE({1,2},'Name List'!$B$3:$B$1000,'Name List'!$E$3:$E$1000),2,FALSE),"")</f>
        <v/>
      </c>
      <c r="ES6" s="198" t="str">
        <f>IF(ES2&lt;&gt;"",VLOOKUP(ES$2,CHOOSE({1,2},'Name List'!$B$3:$B$1000,'Name List'!$E$3:$E$1000),2,FALSE),"")</f>
        <v/>
      </c>
      <c r="ET6" s="198" t="str">
        <f>IF(ET2&lt;&gt;"",VLOOKUP(ET$2,CHOOSE({1,2},'Name List'!$B$3:$B$1000,'Name List'!$E$3:$E$1000),2,FALSE),"")</f>
        <v/>
      </c>
      <c r="EU6" s="198" t="str">
        <f>IF(EU2&lt;&gt;"",VLOOKUP(EU$2,CHOOSE({1,2},'Name List'!$B$3:$B$1000,'Name List'!$E$3:$E$1000),2,FALSE),"")</f>
        <v/>
      </c>
      <c r="EV6" s="198" t="str">
        <f>IF(EV2&lt;&gt;"",VLOOKUP(EV$2,CHOOSE({1,2},'Name List'!$B$3:$B$1000,'Name List'!$E$3:$E$1000),2,FALSE),"")</f>
        <v/>
      </c>
      <c r="EW6" s="198" t="str">
        <f>IF(EW2&lt;&gt;"",VLOOKUP(EW$2,CHOOSE({1,2},'Name List'!$B$3:$B$1000,'Name List'!$E$3:$E$1000),2,FALSE),"")</f>
        <v/>
      </c>
      <c r="EX6" s="198" t="str">
        <f>IF(EX2&lt;&gt;"",VLOOKUP(EX$2,CHOOSE({1,2},'Name List'!$B$3:$B$1000,'Name List'!$E$3:$E$1000),2,FALSE),"")</f>
        <v/>
      </c>
      <c r="EY6" s="198" t="str">
        <f>IF(EY2&lt;&gt;"",VLOOKUP(EY$2,CHOOSE({1,2},'Name List'!$B$3:$B$1000,'Name List'!$E$3:$E$1000),2,FALSE),"")</f>
        <v/>
      </c>
      <c r="EZ6" s="198" t="str">
        <f>IF(EZ2&lt;&gt;"",VLOOKUP(EZ$2,CHOOSE({1,2},'Name List'!$B$3:$B$1000,'Name List'!$E$3:$E$1000),2,FALSE),"")</f>
        <v/>
      </c>
      <c r="FA6" s="198" t="str">
        <f>IF(FA2&lt;&gt;"",VLOOKUP(FA$2,CHOOSE({1,2},'Name List'!$B$3:$B$1000,'Name List'!$E$3:$E$1000),2,FALSE),"")</f>
        <v/>
      </c>
      <c r="FB6" s="198" t="str">
        <f>IF(FB2&lt;&gt;"",VLOOKUP(FB$2,CHOOSE({1,2},'Name List'!$B$3:$B$1000,'Name List'!$E$3:$E$1000),2,FALSE),"")</f>
        <v/>
      </c>
      <c r="FC6" s="198" t="str">
        <f>IF(FC2&lt;&gt;"",VLOOKUP(FC$2,CHOOSE({1,2},'Name List'!$B$3:$B$1000,'Name List'!$E$3:$E$1000),2,FALSE),"")</f>
        <v/>
      </c>
      <c r="FD6" s="198" t="str">
        <f>IF(FD2&lt;&gt;"",VLOOKUP(FD$2,CHOOSE({1,2},'Name List'!$B$3:$B$1000,'Name List'!$E$3:$E$1000),2,FALSE),"")</f>
        <v/>
      </c>
      <c r="FE6" s="198" t="str">
        <f>IF(FE2&lt;&gt;"",VLOOKUP(FE$2,CHOOSE({1,2},'Name List'!$B$3:$B$1000,'Name List'!$E$3:$E$1000),2,FALSE),"")</f>
        <v/>
      </c>
      <c r="FF6" s="198" t="str">
        <f>IF(FF2&lt;&gt;"",VLOOKUP(FF$2,CHOOSE({1,2},'Name List'!$B$3:$B$1000,'Name List'!$E$3:$E$1000),2,FALSE),"")</f>
        <v/>
      </c>
      <c r="FG6" s="198" t="str">
        <f>IF(FG2&lt;&gt;"",VLOOKUP(FG$2,CHOOSE({1,2},'Name List'!$B$3:$B$1000,'Name List'!$E$3:$E$1000),2,FALSE),"")</f>
        <v/>
      </c>
      <c r="FH6" s="198" t="str">
        <f>IF(FH2&lt;&gt;"",VLOOKUP(FH$2,CHOOSE({1,2},'Name List'!$B$3:$B$1000,'Name List'!$E$3:$E$1000),2,FALSE),"")</f>
        <v/>
      </c>
      <c r="FI6" s="198" t="str">
        <f>IF(FI2&lt;&gt;"",VLOOKUP(FI$2,CHOOSE({1,2},'Name List'!$B$3:$B$1000,'Name List'!$E$3:$E$1000),2,FALSE),"")</f>
        <v/>
      </c>
      <c r="FJ6" s="198" t="str">
        <f>IF(FJ2&lt;&gt;"",VLOOKUP(FJ$2,CHOOSE({1,2},'Name List'!$B$3:$B$1000,'Name List'!$E$3:$E$1000),2,FALSE),"")</f>
        <v/>
      </c>
      <c r="FK6" s="198" t="str">
        <f>IF(FK2&lt;&gt;"",VLOOKUP(FK$2,CHOOSE({1,2},'Name List'!$B$3:$B$1000,'Name List'!$E$3:$E$1000),2,FALSE),"")</f>
        <v/>
      </c>
      <c r="FL6" s="198" t="str">
        <f>IF(FL2&lt;&gt;"",VLOOKUP(FL$2,CHOOSE({1,2},'Name List'!$B$3:$B$1000,'Name List'!$E$3:$E$1000),2,FALSE),"")</f>
        <v/>
      </c>
      <c r="FM6" s="198" t="str">
        <f>IF(FM2&lt;&gt;"",VLOOKUP(FM$2,CHOOSE({1,2},'Name List'!$B$3:$B$1000,'Name List'!$E$3:$E$1000),2,FALSE),"")</f>
        <v/>
      </c>
      <c r="FN6" s="198" t="str">
        <f>IF(FN2&lt;&gt;"",VLOOKUP(FN$2,CHOOSE({1,2},'Name List'!$B$3:$B$1000,'Name List'!$E$3:$E$1000),2,FALSE),"")</f>
        <v/>
      </c>
      <c r="FO6" s="198" t="str">
        <f>IF(FO2&lt;&gt;"",VLOOKUP(FO$2,CHOOSE({1,2},'Name List'!$B$3:$B$1000,'Name List'!$E$3:$E$1000),2,FALSE),"")</f>
        <v/>
      </c>
      <c r="FP6" s="198" t="str">
        <f>IF(FP2&lt;&gt;"",VLOOKUP(FP$2,CHOOSE({1,2},'Name List'!$B$3:$B$1000,'Name List'!$E$3:$E$1000),2,FALSE),"")</f>
        <v/>
      </c>
      <c r="FQ6" s="198" t="str">
        <f>IF(FQ2&lt;&gt;"",VLOOKUP(FQ$2,CHOOSE({1,2},'Name List'!$B$3:$B$1000,'Name List'!$E$3:$E$1000),2,FALSE),"")</f>
        <v/>
      </c>
      <c r="FR6" s="198" t="str">
        <f>IF(FR2&lt;&gt;"",VLOOKUP(FR$2,CHOOSE({1,2},'Name List'!$B$3:$B$1000,'Name List'!$E$3:$E$1000),2,FALSE),"")</f>
        <v/>
      </c>
      <c r="FS6" s="198" t="str">
        <f>IF(FS2&lt;&gt;"",VLOOKUP(FS$2,CHOOSE({1,2},'Name List'!$B$3:$B$1000,'Name List'!$E$3:$E$1000),2,FALSE),"")</f>
        <v/>
      </c>
      <c r="FT6" s="198" t="str">
        <f>IF(FT2&lt;&gt;"",VLOOKUP(FT$2,CHOOSE({1,2},'Name List'!$B$3:$B$1000,'Name List'!$E$3:$E$1000),2,FALSE),"")</f>
        <v/>
      </c>
      <c r="FU6" s="198" t="str">
        <f>IF(FU2&lt;&gt;"",VLOOKUP(FU$2,CHOOSE({1,2},'Name List'!$B$3:$B$1000,'Name List'!$E$3:$E$1000),2,FALSE),"")</f>
        <v/>
      </c>
      <c r="FV6" s="198" t="str">
        <f>IF(FV2&lt;&gt;"",VLOOKUP(FV$2,CHOOSE({1,2},'Name List'!$B$3:$B$1000,'Name List'!$E$3:$E$1000),2,FALSE),"")</f>
        <v/>
      </c>
      <c r="FW6" s="198" t="str">
        <f>IF(FW2&lt;&gt;"",VLOOKUP(FW$2,CHOOSE({1,2},'Name List'!$B$3:$B$1000,'Name List'!$E$3:$E$1000),2,FALSE),"")</f>
        <v/>
      </c>
      <c r="FX6" s="198" t="str">
        <f>IF(FX2&lt;&gt;"",VLOOKUP(FX$2,CHOOSE({1,2},'Name List'!$B$3:$B$1000,'Name List'!$E$3:$E$1000),2,FALSE),"")</f>
        <v/>
      </c>
      <c r="FY6" s="198" t="str">
        <f>IF(FY2&lt;&gt;"",VLOOKUP(FY$2,CHOOSE({1,2},'Name List'!$B$3:$B$1000,'Name List'!$E$3:$E$1000),2,FALSE),"")</f>
        <v/>
      </c>
      <c r="FZ6" s="198" t="str">
        <f>IF(FZ2&lt;&gt;"",VLOOKUP(FZ$2,CHOOSE({1,2},'Name List'!$B$3:$B$1000,'Name List'!$E$3:$E$1000),2,FALSE),"")</f>
        <v/>
      </c>
      <c r="GA6" s="198" t="str">
        <f>IF(GA2&lt;&gt;"",VLOOKUP(GA$2,CHOOSE({1,2},'Name List'!$B$3:$B$1000,'Name List'!$E$3:$E$1000),2,FALSE),"")</f>
        <v/>
      </c>
      <c r="GB6" s="198" t="str">
        <f>IF(GB2&lt;&gt;"",VLOOKUP(GB$2,CHOOSE({1,2},'Name List'!$B$3:$B$1000,'Name List'!$E$3:$E$1000),2,FALSE),"")</f>
        <v/>
      </c>
      <c r="GC6" s="198" t="str">
        <f>IF(GC2&lt;&gt;"",VLOOKUP(GC$2,CHOOSE({1,2},'Name List'!$B$3:$B$1000,'Name List'!$E$3:$E$1000),2,FALSE),"")</f>
        <v/>
      </c>
      <c r="GD6" s="198" t="str">
        <f>IF(GD2&lt;&gt;"",VLOOKUP(GD$2,CHOOSE({1,2},'Name List'!$B$3:$B$1000,'Name List'!$E$3:$E$1000),2,FALSE),"")</f>
        <v/>
      </c>
      <c r="GE6" s="198" t="str">
        <f>IF(GE2&lt;&gt;"",VLOOKUP(GE$2,CHOOSE({1,2},'Name List'!$B$3:$B$1000,'Name List'!$E$3:$E$1000),2,FALSE),"")</f>
        <v/>
      </c>
      <c r="GF6" s="198" t="str">
        <f>IF(GF2&lt;&gt;"",VLOOKUP(GF$2,CHOOSE({1,2},'Name List'!$B$3:$B$1000,'Name List'!$E$3:$E$1000),2,FALSE),"")</f>
        <v/>
      </c>
      <c r="GG6" s="198" t="str">
        <f>IF(GG2&lt;&gt;"",VLOOKUP(GG$2,CHOOSE({1,2},'Name List'!$B$3:$B$1000,'Name List'!$E$3:$E$1000),2,FALSE),"")</f>
        <v/>
      </c>
      <c r="GH6" s="198" t="str">
        <f>IF(GH2&lt;&gt;"",VLOOKUP(GH$2,CHOOSE({1,2},'Name List'!$B$3:$B$1000,'Name List'!$E$3:$E$1000),2,FALSE),"")</f>
        <v/>
      </c>
      <c r="GI6" s="198" t="str">
        <f>IF(GI2&lt;&gt;"",VLOOKUP(GI$2,CHOOSE({1,2},'Name List'!$B$3:$B$1000,'Name List'!$E$3:$E$1000),2,FALSE),"")</f>
        <v/>
      </c>
      <c r="GJ6" s="198" t="str">
        <f>IF(GJ2&lt;&gt;"",VLOOKUP(GJ$2,CHOOSE({1,2},'Name List'!$B$3:$B$1000,'Name List'!$E$3:$E$1000),2,FALSE),"")</f>
        <v/>
      </c>
      <c r="GK6" s="198" t="str">
        <f>IF(GK2&lt;&gt;"",VLOOKUP(GK$2,CHOOSE({1,2},'Name List'!$B$3:$B$1000,'Name List'!$E$3:$E$1000),2,FALSE),"")</f>
        <v/>
      </c>
      <c r="GL6" s="198" t="str">
        <f>IF(GL2&lt;&gt;"",VLOOKUP(GL$2,CHOOSE({1,2},'Name List'!$B$3:$B$1000,'Name List'!$E$3:$E$1000),2,FALSE),"")</f>
        <v/>
      </c>
      <c r="GM6" s="198" t="str">
        <f>IF(GM2&lt;&gt;"",VLOOKUP(GM$2,CHOOSE({1,2},'Name List'!$B$3:$B$1000,'Name List'!$E$3:$E$1000),2,FALSE),"")</f>
        <v/>
      </c>
      <c r="GN6" s="198" t="str">
        <f>IF(GN2&lt;&gt;"",VLOOKUP(GN$2,CHOOSE({1,2},'Name List'!$B$3:$B$1000,'Name List'!$E$3:$E$1000),2,FALSE),"")</f>
        <v/>
      </c>
      <c r="GO6" s="198" t="str">
        <f>IF(GO2&lt;&gt;"",VLOOKUP(GO$2,CHOOSE({1,2},'Name List'!$B$3:$B$1000,'Name List'!$E$3:$E$1000),2,FALSE),"")</f>
        <v/>
      </c>
      <c r="GP6" s="198" t="str">
        <f>IF(GP2&lt;&gt;"",VLOOKUP(GP$2,CHOOSE({1,2},'Name List'!$B$3:$B$1000,'Name List'!$E$3:$E$1000),2,FALSE),"")</f>
        <v/>
      </c>
      <c r="GQ6" s="198" t="str">
        <f>IF(GQ2&lt;&gt;"",VLOOKUP(GQ$2,CHOOSE({1,2},'Name List'!$B$3:$B$1000,'Name List'!$E$3:$E$1000),2,FALSE),"")</f>
        <v/>
      </c>
      <c r="GR6" s="198" t="str">
        <f>IF(GR2&lt;&gt;"",VLOOKUP(GR$2,CHOOSE({1,2},'Name List'!$B$3:$B$1000,'Name List'!$E$3:$E$1000),2,FALSE),"")</f>
        <v/>
      </c>
      <c r="GS6" s="198" t="str">
        <f>IF(GS2&lt;&gt;"",VLOOKUP(GS$2,CHOOSE({1,2},'Name List'!$B$3:$B$1000,'Name List'!$E$3:$E$1000),2,FALSE),"")</f>
        <v/>
      </c>
      <c r="GT6" s="198" t="str">
        <f>IF(GT2&lt;&gt;"",VLOOKUP(GT$2,CHOOSE({1,2},'Name List'!$B$3:$B$1000,'Name List'!$E$3:$E$1000),2,FALSE),"")</f>
        <v/>
      </c>
      <c r="GU6" s="198" t="str">
        <f>IF(GU2&lt;&gt;"",VLOOKUP(GU$2,CHOOSE({1,2},'Name List'!$B$3:$B$1000,'Name List'!$E$3:$E$1000),2,FALSE),"")</f>
        <v/>
      </c>
      <c r="GV6" s="198" t="str">
        <f>IF(GV2&lt;&gt;"",VLOOKUP(GV$2,CHOOSE({1,2},'Name List'!$B$3:$B$1000,'Name List'!$E$3:$E$1000),2,FALSE),"")</f>
        <v/>
      </c>
      <c r="GW6" s="198" t="str">
        <f>IF(GW2&lt;&gt;"",VLOOKUP(GW$2,CHOOSE({1,2},'Name List'!$B$3:$B$1000,'Name List'!$E$3:$E$1000),2,FALSE),"")</f>
        <v/>
      </c>
      <c r="GX6" s="198" t="str">
        <f>IF(GX2&lt;&gt;"",VLOOKUP(GX$2,CHOOSE({1,2},'Name List'!$B$3:$B$1000,'Name List'!$E$3:$E$1000),2,FALSE),"")</f>
        <v/>
      </c>
      <c r="GY6" s="198" t="str">
        <f>IF(GY2&lt;&gt;"",VLOOKUP(GY$2,CHOOSE({1,2},'Name List'!$B$3:$B$1000,'Name List'!$E$3:$E$1000),2,FALSE),"")</f>
        <v/>
      </c>
      <c r="GZ6" s="198" t="str">
        <f>IF(GZ2&lt;&gt;"",VLOOKUP(GZ$2,CHOOSE({1,2},'Name List'!$B$3:$B$1000,'Name List'!$E$3:$E$1000),2,FALSE),"")</f>
        <v/>
      </c>
      <c r="HA6" s="198" t="str">
        <f>IF(HA2&lt;&gt;"",VLOOKUP(HA$2,CHOOSE({1,2},'Name List'!$B$3:$B$1000,'Name List'!$E$3:$E$1000),2,FALSE),"")</f>
        <v/>
      </c>
      <c r="HB6" s="198" t="str">
        <f>IF(HB2&lt;&gt;"",VLOOKUP(HB$2,CHOOSE({1,2},'Name List'!$B$3:$B$1000,'Name List'!$E$3:$E$1000),2,FALSE),"")</f>
        <v/>
      </c>
      <c r="HC6" s="198" t="str">
        <f>IF(HC2&lt;&gt;"",VLOOKUP(HC$2,CHOOSE({1,2},'Name List'!$B$3:$B$1000,'Name List'!$E$3:$E$1000),2,FALSE),"")</f>
        <v/>
      </c>
      <c r="HD6" s="198" t="str">
        <f>IF(HD2&lt;&gt;"",VLOOKUP(HD$2,CHOOSE({1,2},'Name List'!$B$3:$B$1000,'Name List'!$E$3:$E$1000),2,FALSE),"")</f>
        <v/>
      </c>
      <c r="HE6" s="198" t="str">
        <f>IF(HE2&lt;&gt;"",VLOOKUP(HE$2,CHOOSE({1,2},'Name List'!$B$3:$B$1000,'Name List'!$E$3:$E$1000),2,FALSE),"")</f>
        <v/>
      </c>
      <c r="HF6" s="198" t="str">
        <f>IF(HF2&lt;&gt;"",VLOOKUP(HF$2,CHOOSE({1,2},'Name List'!$B$3:$B$1000,'Name List'!$E$3:$E$1000),2,FALSE),"")</f>
        <v/>
      </c>
      <c r="HG6" s="198" t="str">
        <f>IF(HG2&lt;&gt;"",VLOOKUP(HG$2,CHOOSE({1,2},'Name List'!$B$3:$B$1000,'Name List'!$E$3:$E$1000),2,FALSE),"")</f>
        <v/>
      </c>
      <c r="HH6" s="198" t="str">
        <f>IF(HH2&lt;&gt;"",VLOOKUP(HH$2,CHOOSE({1,2},'Name List'!$B$3:$B$1000,'Name List'!$E$3:$E$1000),2,FALSE),"")</f>
        <v/>
      </c>
      <c r="HI6" s="198" t="str">
        <f>IF(HI2&lt;&gt;"",VLOOKUP(HI$2,CHOOSE({1,2},'Name List'!$B$3:$B$1000,'Name List'!$E$3:$E$1000),2,FALSE),"")</f>
        <v/>
      </c>
      <c r="HJ6" s="198" t="str">
        <f>IF(HJ2&lt;&gt;"",VLOOKUP(HJ$2,CHOOSE({1,2},'Name List'!$B$3:$B$1000,'Name List'!$E$3:$E$1000),2,FALSE),"")</f>
        <v/>
      </c>
      <c r="HK6" s="198" t="str">
        <f>IF(HK2&lt;&gt;"",VLOOKUP(HK$2,CHOOSE({1,2},'Name List'!$B$3:$B$1000,'Name List'!$E$3:$E$1000),2,FALSE),"")</f>
        <v/>
      </c>
      <c r="HL6" s="198" t="str">
        <f>IF(HL2&lt;&gt;"",VLOOKUP(HL$2,CHOOSE({1,2},'Name List'!$B$3:$B$1000,'Name List'!$E$3:$E$1000),2,FALSE),"")</f>
        <v/>
      </c>
      <c r="HM6" s="198" t="str">
        <f>IF(HM2&lt;&gt;"",VLOOKUP(HM$2,CHOOSE({1,2},'Name List'!$B$3:$B$1000,'Name List'!$E$3:$E$1000),2,FALSE),"")</f>
        <v/>
      </c>
      <c r="HN6" s="198" t="str">
        <f>IF(HN2&lt;&gt;"",VLOOKUP(HN$2,CHOOSE({1,2},'Name List'!$B$3:$B$1000,'Name List'!$E$3:$E$1000),2,FALSE),"")</f>
        <v/>
      </c>
    </row>
    <row r="7" spans="1:222" s="196" customFormat="1" ht="20.100000000000001" customHeight="1" x14ac:dyDescent="0.3">
      <c r="B7" s="200" t="s">
        <v>303</v>
      </c>
      <c r="C7" s="210" t="e">
        <f>IF(C2&lt;&gt;"",VLOOKUP(C$2,CHOOSE({1,2},'Name List'!$B$3:$B$1000,'Name List'!$D$3:$D$1000),2,FALSE),"")</f>
        <v>#N/A</v>
      </c>
      <c r="D7" s="210">
        <f>IF(D2&lt;&gt;"",VLOOKUP(D$2,CHOOSE({1,2},'Name List'!$B$3:$B$1000,'Name List'!$D$3:$D$1000),2,FALSE),"")</f>
        <v>0</v>
      </c>
      <c r="E7" s="210">
        <f>IF(E2&lt;&gt;"",VLOOKUP(E$2,CHOOSE({1,2},'Name List'!$B$3:$B$1000,'Name List'!$D$3:$D$1000),2,FALSE),"")</f>
        <v>0</v>
      </c>
      <c r="F7" s="210" t="e">
        <f>IF(F2&lt;&gt;"",VLOOKUP(F$2,CHOOSE({1,2},'Name List'!$B$3:$B$1000,'Name List'!$D$3:$D$1000),2,FALSE),"")</f>
        <v>#N/A</v>
      </c>
      <c r="G7" s="210">
        <f>IF(G2&lt;&gt;"",VLOOKUP(G$2,CHOOSE({1,2},'Name List'!$B$3:$B$1000,'Name List'!$D$3:$D$1000),2,FALSE),"")</f>
        <v>0</v>
      </c>
      <c r="H7" s="210">
        <f>IF(H2&lt;&gt;"",VLOOKUP(H$2,CHOOSE({1,2},'Name List'!$B$3:$B$1000,'Name List'!$D$3:$D$1000),2,FALSE),"")</f>
        <v>0</v>
      </c>
      <c r="I7" s="210">
        <f>IF(I2&lt;&gt;"",VLOOKUP(I$2,CHOOSE({1,2},'Name List'!$B$3:$B$1000,'Name List'!$D$3:$D$1000),2,FALSE),"")</f>
        <v>0</v>
      </c>
      <c r="J7" s="210">
        <f>IF(J2&lt;&gt;"",VLOOKUP(J$2,CHOOSE({1,2},'Name List'!$B$3:$B$1000,'Name List'!$D$3:$D$1000),2,FALSE),"")</f>
        <v>0</v>
      </c>
      <c r="K7" s="210">
        <f>IF(K2&lt;&gt;"",VLOOKUP(K$2,CHOOSE({1,2},'Name List'!$B$3:$B$1000,'Name List'!$D$3:$D$1000),2,FALSE),"")</f>
        <v>0</v>
      </c>
      <c r="L7" s="210" t="e">
        <f>IF(L2&lt;&gt;"",VLOOKUP(L$2,CHOOSE({1,2},'Name List'!$B$3:$B$1000,'Name List'!$D$3:$D$1000),2,FALSE),"")</f>
        <v>#N/A</v>
      </c>
      <c r="M7" s="210" t="e">
        <f>IF(M2&lt;&gt;"",VLOOKUP(M$2,CHOOSE({1,2},'Name List'!$B$3:$B$1000,'Name List'!$D$3:$D$1000),2,FALSE),"")</f>
        <v>#N/A</v>
      </c>
      <c r="N7" s="210">
        <f>IF(N2&lt;&gt;"",VLOOKUP(N$2,CHOOSE({1,2},'Name List'!$B$3:$B$1000,'Name List'!$D$3:$D$1000),2,FALSE),"")</f>
        <v>0</v>
      </c>
      <c r="O7" s="210" t="e">
        <f>IF(O2&lt;&gt;"",VLOOKUP(O$2,CHOOSE({1,2},'Name List'!$B$3:$B$1000,'Name List'!$D$3:$D$1000),2,FALSE),"")</f>
        <v>#N/A</v>
      </c>
      <c r="P7" s="210" t="e">
        <f>IF(P2&lt;&gt;"",VLOOKUP(P$2,CHOOSE({1,2},'Name List'!$B$3:$B$1000,'Name List'!$D$3:$D$1000),2,FALSE),"")</f>
        <v>#N/A</v>
      </c>
      <c r="Q7" s="210">
        <f>IF(Q2&lt;&gt;"",VLOOKUP(Q$2,CHOOSE({1,2},'Name List'!$B$3:$B$1000,'Name List'!$D$3:$D$1000),2,FALSE),"")</f>
        <v>86</v>
      </c>
      <c r="R7" s="210" t="e">
        <f>IF(R2&lt;&gt;"",VLOOKUP(R$2,CHOOSE({1,2},'Name List'!$B$3:$B$1000,'Name List'!$D$3:$D$1000),2,FALSE),"")</f>
        <v>#N/A</v>
      </c>
      <c r="S7" s="210">
        <f>IF(S2&lt;&gt;"",VLOOKUP(S$2,CHOOSE({1,2},'Name List'!$B$3:$B$1000,'Name List'!$D$3:$D$1000),2,FALSE),"")</f>
        <v>0</v>
      </c>
      <c r="T7" s="210" t="e">
        <f>IF(T2&lt;&gt;"",VLOOKUP(T$2,CHOOSE({1,2},'Name List'!$B$3:$B$1000,'Name List'!$D$3:$D$1000),2,FALSE),"")</f>
        <v>#N/A</v>
      </c>
      <c r="U7" s="210">
        <f>IF(U2&lt;&gt;"",VLOOKUP(U$2,CHOOSE({1,2},'Name List'!$B$3:$B$1000,'Name List'!$D$3:$D$1000),2,FALSE),"")</f>
        <v>0</v>
      </c>
      <c r="V7" s="210">
        <f>IF(V2&lt;&gt;"",VLOOKUP(V$2,CHOOSE({1,2},'Name List'!$B$3:$B$1000,'Name List'!$D$3:$D$1000),2,FALSE),"")</f>
        <v>0</v>
      </c>
      <c r="W7" s="210">
        <f>IF(W2&lt;&gt;"",VLOOKUP(W$2,CHOOSE({1,2},'Name List'!$B$3:$B$1000,'Name List'!$D$3:$D$1000),2,FALSE),"")</f>
        <v>0</v>
      </c>
      <c r="X7" s="210">
        <f>IF(X2&lt;&gt;"",VLOOKUP(X$2,CHOOSE({1,2},'Name List'!$B$3:$B$1000,'Name List'!$D$3:$D$1000),2,FALSE),"")</f>
        <v>0</v>
      </c>
      <c r="Y7" s="210" t="e">
        <f>IF(Y2&lt;&gt;"",VLOOKUP(Y$2,CHOOSE({1,2},'Name List'!$B$3:$B$1000,'Name List'!$D$3:$D$1000),2,FALSE),"")</f>
        <v>#N/A</v>
      </c>
      <c r="Z7" s="210" t="e">
        <f>IF(Z2&lt;&gt;"",VLOOKUP(Z$2,CHOOSE({1,2},'Name List'!$B$3:$B$1000,'Name List'!$D$3:$D$1000),2,FALSE),"")</f>
        <v>#N/A</v>
      </c>
      <c r="AA7" s="210" t="e">
        <f>IF(AA2&lt;&gt;"",VLOOKUP(AA$2,CHOOSE({1,2},'Name List'!$B$3:$B$1000,'Name List'!$D$3:$D$1000),2,FALSE),"")</f>
        <v>#N/A</v>
      </c>
      <c r="AB7" s="210" t="e">
        <f>IF(AB2&lt;&gt;"",VLOOKUP(AB$2,CHOOSE({1,2},'Name List'!$B$3:$B$1000,'Name List'!$D$3:$D$1000),2,FALSE),"")</f>
        <v>#N/A</v>
      </c>
      <c r="AC7" s="210">
        <f>IF(AC2&lt;&gt;"",VLOOKUP(AC$2,CHOOSE({1,2},'Name List'!$B$3:$B$1000,'Name List'!$D$3:$D$1000),2,FALSE),"")</f>
        <v>0</v>
      </c>
      <c r="AD7" s="210">
        <f>IF(AD2&lt;&gt;"",VLOOKUP(AD$2,CHOOSE({1,2},'Name List'!$B$3:$B$1000,'Name List'!$D$3:$D$1000),2,FALSE),"")</f>
        <v>0</v>
      </c>
      <c r="AE7" s="210" t="e">
        <f>IF(AE2&lt;&gt;"",VLOOKUP(AE$2,CHOOSE({1,2},'Name List'!$B$3:$B$1000,'Name List'!$D$3:$D$1000),2,FALSE),"")</f>
        <v>#N/A</v>
      </c>
      <c r="AF7" s="210" t="e">
        <f>IF(AF2&lt;&gt;"",VLOOKUP(AF$2,CHOOSE({1,2},'Name List'!$B$3:$B$1000,'Name List'!$D$3:$D$1000),2,FALSE),"")</f>
        <v>#N/A</v>
      </c>
      <c r="AG7" s="210" t="e">
        <f>IF(AG2&lt;&gt;"",VLOOKUP(AG$2,CHOOSE({1,2},'Name List'!$B$3:$B$1000,'Name List'!$D$3:$D$1000),2,FALSE),"")</f>
        <v>#N/A</v>
      </c>
      <c r="AH7" s="210" t="e">
        <f>IF(AH2&lt;&gt;"",VLOOKUP(AH$2,CHOOSE({1,2},'Name List'!$B$3:$B$1000,'Name List'!$D$3:$D$1000),2,FALSE),"")</f>
        <v>#N/A</v>
      </c>
      <c r="AI7" s="210">
        <f>IF(AI2&lt;&gt;"",VLOOKUP(AI$2,CHOOSE({1,2},'Name List'!$B$3:$B$1000,'Name List'!$D$3:$D$1000),2,FALSE),"")</f>
        <v>0</v>
      </c>
      <c r="AJ7" s="210" t="e">
        <f>IF(AJ2&lt;&gt;"",VLOOKUP(AJ$2,CHOOSE({1,2},'Name List'!$B$3:$B$1000,'Name List'!$D$3:$D$1000),2,FALSE),"")</f>
        <v>#N/A</v>
      </c>
      <c r="AK7" s="210">
        <f>IF(AK2&lt;&gt;"",VLOOKUP(AK$2,CHOOSE({1,2},'Name List'!$B$3:$B$1000,'Name List'!$D$3:$D$1000),2,FALSE),"")</f>
        <v>0</v>
      </c>
      <c r="AL7" s="210">
        <f>IF(AL2&lt;&gt;"",VLOOKUP(AL$2,CHOOSE({1,2},'Name List'!$B$3:$B$1000,'Name List'!$D$3:$D$1000),2,FALSE),"")</f>
        <v>0</v>
      </c>
      <c r="AM7" s="210">
        <f>IF(AM2&lt;&gt;"",VLOOKUP(AM$2,CHOOSE({1,2},'Name List'!$B$3:$B$1000,'Name List'!$D$3:$D$1000),2,FALSE),"")</f>
        <v>0</v>
      </c>
      <c r="AN7" s="210">
        <f>IF(AN2&lt;&gt;"",VLOOKUP(AN$2,CHOOSE({1,2},'Name List'!$B$3:$B$1000,'Name List'!$D$3:$D$1000),2,FALSE),"")</f>
        <v>0</v>
      </c>
      <c r="AO7" s="210">
        <f>IF(AO2&lt;&gt;"",VLOOKUP(AO$2,CHOOSE({1,2},'Name List'!$B$3:$B$1000,'Name List'!$D$3:$D$1000),2,FALSE),"")</f>
        <v>0</v>
      </c>
      <c r="AP7" s="210">
        <f>IF(AP2&lt;&gt;"",VLOOKUP(AP$2,CHOOSE({1,2},'Name List'!$B$3:$B$1000,'Name List'!$D$3:$D$1000),2,FALSE),"")</f>
        <v>0</v>
      </c>
      <c r="AQ7" s="210">
        <f>IF(AQ2&lt;&gt;"",VLOOKUP(AQ$2,CHOOSE({1,2},'Name List'!$B$3:$B$1000,'Name List'!$D$3:$D$1000),2,FALSE),"")</f>
        <v>0</v>
      </c>
      <c r="AR7" s="210">
        <f>IF(AR2&lt;&gt;"",VLOOKUP(AR$2,CHOOSE({1,2},'Name List'!$B$3:$B$1000,'Name List'!$D$3:$D$1000),2,FALSE),"")</f>
        <v>0</v>
      </c>
      <c r="AS7" s="210">
        <f>IF(AS2&lt;&gt;"",VLOOKUP(AS$2,CHOOSE({1,2},'Name List'!$B$3:$B$1000,'Name List'!$D$3:$D$1000),2,FALSE),"")</f>
        <v>0</v>
      </c>
      <c r="AT7" s="210">
        <f>IF(AT2&lt;&gt;"",VLOOKUP(AT$2,CHOOSE({1,2},'Name List'!$B$3:$B$1000,'Name List'!$D$3:$D$1000),2,FALSE),"")</f>
        <v>0</v>
      </c>
      <c r="AU7" s="210">
        <f>IF(AU2&lt;&gt;"",VLOOKUP(AU$2,CHOOSE({1,2},'Name List'!$B$3:$B$1000,'Name List'!$D$3:$D$1000),2,FALSE),"")</f>
        <v>0</v>
      </c>
      <c r="AV7" s="210" t="e">
        <f>IF(AV2&lt;&gt;"",VLOOKUP(AV$2,CHOOSE({1,2},'Name List'!$B$3:$B$1000,'Name List'!$D$3:$D$1000),2,FALSE),"")</f>
        <v>#N/A</v>
      </c>
      <c r="AW7" s="210">
        <f>IF(AW2&lt;&gt;"",VLOOKUP(AW$2,CHOOSE({1,2},'Name List'!$B$3:$B$1000,'Name List'!$D$3:$D$1000),2,FALSE),"")</f>
        <v>0</v>
      </c>
      <c r="AX7" s="210" t="e">
        <f>IF(AX2&lt;&gt;"",VLOOKUP(AX$2,CHOOSE({1,2},'Name List'!$B$3:$B$1000,'Name List'!$D$3:$D$1000),2,FALSE),"")</f>
        <v>#N/A</v>
      </c>
      <c r="AY7" s="210" t="e">
        <f>IF(AY2&lt;&gt;"",VLOOKUP(AY$2,CHOOSE({1,2},'Name List'!$B$3:$B$1000,'Name List'!$D$3:$D$1000),2,FALSE),"")</f>
        <v>#N/A</v>
      </c>
      <c r="AZ7" s="210">
        <f>IF(AZ2&lt;&gt;"",VLOOKUP(AZ$2,CHOOSE({1,2},'Name List'!$B$3:$B$1000,'Name List'!$D$3:$D$1000),2,FALSE),"")</f>
        <v>0</v>
      </c>
      <c r="BA7" s="210" t="e">
        <f>IF(BA2&lt;&gt;"",VLOOKUP(BA$2,CHOOSE({1,2},'Name List'!$B$3:$B$1000,'Name List'!$D$3:$D$1000),2,FALSE),"")</f>
        <v>#N/A</v>
      </c>
      <c r="BB7" s="210" t="e">
        <f>IF(BB2&lt;&gt;"",VLOOKUP(BB$2,CHOOSE({1,2},'Name List'!$B$3:$B$1000,'Name List'!$D$3:$D$1000),2,FALSE),"")</f>
        <v>#N/A</v>
      </c>
      <c r="BC7" s="210">
        <f>IF(BC2&lt;&gt;"",VLOOKUP(BC$2,CHOOSE({1,2},'Name List'!$B$3:$B$1000,'Name List'!$D$3:$D$1000),2,FALSE),"")</f>
        <v>0</v>
      </c>
      <c r="BD7" s="210">
        <f>IF(BD2&lt;&gt;"",VLOOKUP(BD$2,CHOOSE({1,2},'Name List'!$B$3:$B$1000,'Name List'!$D$3:$D$1000),2,FALSE),"")</f>
        <v>0</v>
      </c>
      <c r="BE7" s="210">
        <f>IF(BE2&lt;&gt;"",VLOOKUP(BE$2,CHOOSE({1,2},'Name List'!$B$3:$B$1000,'Name List'!$D$3:$D$1000),2,FALSE),"")</f>
        <v>0</v>
      </c>
      <c r="BF7" s="210">
        <f>IF(BF2&lt;&gt;"",VLOOKUP(BF$2,CHOOSE({1,2},'Name List'!$B$3:$B$1000,'Name List'!$D$3:$D$1000),2,FALSE),"")</f>
        <v>0</v>
      </c>
      <c r="BG7" s="210" t="e">
        <f>IF(BG2&lt;&gt;"",VLOOKUP(BG$2,CHOOSE({1,2},'Name List'!$B$3:$B$1000,'Name List'!$D$3:$D$1000),2,FALSE),"")</f>
        <v>#N/A</v>
      </c>
      <c r="BH7" s="210">
        <f>IF(BH2&lt;&gt;"",VLOOKUP(BH$2,CHOOSE({1,2},'Name List'!$B$3:$B$1000,'Name List'!$D$3:$D$1000),2,FALSE),"")</f>
        <v>0</v>
      </c>
      <c r="BI7" s="210">
        <f>IF(BI2&lt;&gt;"",VLOOKUP(BI$2,CHOOSE({1,2},'Name List'!$B$3:$B$1000,'Name List'!$D$3:$D$1000),2,FALSE),"")</f>
        <v>0</v>
      </c>
      <c r="BJ7" s="210" t="e">
        <f>IF(BJ2&lt;&gt;"",VLOOKUP(BJ$2,CHOOSE({1,2},'Name List'!$B$3:$B$1000,'Name List'!$D$3:$D$1000),2,FALSE),"")</f>
        <v>#N/A</v>
      </c>
      <c r="BK7" s="210">
        <f>IF(BK2&lt;&gt;"",VLOOKUP(BK$2,CHOOSE({1,2},'Name List'!$B$3:$B$1000,'Name List'!$D$3:$D$1000),2,FALSE),"")</f>
        <v>0</v>
      </c>
      <c r="BL7" s="210">
        <f>IF(BL2&lt;&gt;"",VLOOKUP(BL$2,CHOOSE({1,2},'Name List'!$B$3:$B$1000,'Name List'!$D$3:$D$1000),2,FALSE),"")</f>
        <v>0</v>
      </c>
      <c r="BM7" s="210">
        <f>IF(BM2&lt;&gt;"",VLOOKUP(BM$2,CHOOSE({1,2},'Name List'!$B$3:$B$1000,'Name List'!$D$3:$D$1000),2,FALSE),"")</f>
        <v>0</v>
      </c>
      <c r="BN7" s="210" t="e">
        <f>IF(BN2&lt;&gt;"",VLOOKUP(BN$2,CHOOSE({1,2},'Name List'!$B$3:$B$1000,'Name List'!$D$3:$D$1000),2,FALSE),"")</f>
        <v>#N/A</v>
      </c>
      <c r="BO7" s="210">
        <f>IF(BO2&lt;&gt;"",VLOOKUP(BO$2,CHOOSE({1,2},'Name List'!$B$3:$B$1000,'Name List'!$D$3:$D$1000),2,FALSE),"")</f>
        <v>0</v>
      </c>
      <c r="BP7" s="210" t="e">
        <f>IF(BP2&lt;&gt;"",VLOOKUP(BP$2,CHOOSE({1,2},'Name List'!$B$3:$B$1000,'Name List'!$D$3:$D$1000),2,FALSE),"")</f>
        <v>#N/A</v>
      </c>
      <c r="BQ7" s="210">
        <f>IF(BQ2&lt;&gt;"",VLOOKUP(BQ$2,CHOOSE({1,2},'Name List'!$B$3:$B$1000,'Name List'!$D$3:$D$1000),2,FALSE),"")</f>
        <v>0</v>
      </c>
      <c r="BR7" s="210">
        <f>IF(BR2&lt;&gt;"",VLOOKUP(BR$2,CHOOSE({1,2},'Name List'!$B$3:$B$1000,'Name List'!$D$3:$D$1000),2,FALSE),"")</f>
        <v>0</v>
      </c>
      <c r="BS7" s="210">
        <f>IF(BS2&lt;&gt;"",VLOOKUP(BS$2,CHOOSE({1,2},'Name List'!$B$3:$B$1000,'Name List'!$D$3:$D$1000),2,FALSE),"")</f>
        <v>0</v>
      </c>
      <c r="BT7" s="210">
        <f>IF(BT2&lt;&gt;"",VLOOKUP(BT$2,CHOOSE({1,2},'Name List'!$B$3:$B$1000,'Name List'!$D$3:$D$1000),2,FALSE),"")</f>
        <v>0</v>
      </c>
      <c r="BU7" s="210">
        <f>IF(BU2&lt;&gt;"",VLOOKUP(BU$2,CHOOSE({1,2},'Name List'!$B$3:$B$1000,'Name List'!$D$3:$D$1000),2,FALSE),"")</f>
        <v>0</v>
      </c>
      <c r="BV7" s="210">
        <f>IF(BV2&lt;&gt;"",VLOOKUP(BV$2,CHOOSE({1,2},'Name List'!$B$3:$B$1000,'Name List'!$D$3:$D$1000),2,FALSE),"")</f>
        <v>0</v>
      </c>
      <c r="BW7" s="210">
        <f>IF(BW2&lt;&gt;"",VLOOKUP(BW$2,CHOOSE({1,2},'Name List'!$B$3:$B$1000,'Name List'!$D$3:$D$1000),2,FALSE),"")</f>
        <v>0</v>
      </c>
      <c r="BX7" s="210">
        <f>IF(BX2&lt;&gt;"",VLOOKUP(BX$2,CHOOSE({1,2},'Name List'!$B$3:$B$1000,'Name List'!$D$3:$D$1000),2,FALSE),"")</f>
        <v>0</v>
      </c>
      <c r="BY7" s="210" t="e">
        <f>IF(BY2&lt;&gt;"",VLOOKUP(BY$2,CHOOSE({1,2},'Name List'!$B$3:$B$1000,'Name List'!$D$3:$D$1000),2,FALSE),"")</f>
        <v>#N/A</v>
      </c>
      <c r="BZ7" s="210" t="e">
        <f>IF(BZ2&lt;&gt;"",VLOOKUP(BZ$2,CHOOSE({1,2},'Name List'!$B$3:$B$1000,'Name List'!$D$3:$D$1000),2,FALSE),"")</f>
        <v>#N/A</v>
      </c>
      <c r="CA7" s="210" t="e">
        <f>IF(CA2&lt;&gt;"",VLOOKUP(CA$2,CHOOSE({1,2},'Name List'!$B$3:$B$1000,'Name List'!$D$3:$D$1000),2,FALSE),"")</f>
        <v>#N/A</v>
      </c>
      <c r="CB7" s="210" t="e">
        <f>IF(CB2&lt;&gt;"",VLOOKUP(CB$2,CHOOSE({1,2},'Name List'!$B$3:$B$1000,'Name List'!$D$3:$D$1000),2,FALSE),"")</f>
        <v>#N/A</v>
      </c>
      <c r="CC7" s="210" t="e">
        <f>IF(CC2&lt;&gt;"",VLOOKUP(CC$2,CHOOSE({1,2},'Name List'!$B$3:$B$1000,'Name List'!$D$3:$D$1000),2,FALSE),"")</f>
        <v>#N/A</v>
      </c>
      <c r="CD7" s="210" t="e">
        <f>IF(CD2&lt;&gt;"",VLOOKUP(CD$2,CHOOSE({1,2},'Name List'!$B$3:$B$1000,'Name List'!$D$3:$D$1000),2,FALSE),"")</f>
        <v>#N/A</v>
      </c>
      <c r="CE7" s="210" t="e">
        <f>IF(CE2&lt;&gt;"",VLOOKUP(CE$2,CHOOSE({1,2},'Name List'!$B$3:$B$1000,'Name List'!$D$3:$D$1000),2,FALSE),"")</f>
        <v>#N/A</v>
      </c>
      <c r="CF7" s="210" t="e">
        <f>IF(CF2&lt;&gt;"",VLOOKUP(CF$2,CHOOSE({1,2},'Name List'!$B$3:$B$1000,'Name List'!$D$3:$D$1000),2,FALSE),"")</f>
        <v>#N/A</v>
      </c>
      <c r="CG7" s="210" t="e">
        <f>IF(CG2&lt;&gt;"",VLOOKUP(CG$2,CHOOSE({1,2},'Name List'!$B$3:$B$1000,'Name List'!$D$3:$D$1000),2,FALSE),"")</f>
        <v>#N/A</v>
      </c>
      <c r="CH7" s="210" t="e">
        <f>IF(CH2&lt;&gt;"",VLOOKUP(CH$2,CHOOSE({1,2},'Name List'!$B$3:$B$1000,'Name List'!$D$3:$D$1000),2,FALSE),"")</f>
        <v>#N/A</v>
      </c>
      <c r="CI7" s="210" t="e">
        <f>IF(CI2&lt;&gt;"",VLOOKUP(CI$2,CHOOSE({1,2},'Name List'!$B$3:$B$1000,'Name List'!$D$3:$D$1000),2,FALSE),"")</f>
        <v>#N/A</v>
      </c>
      <c r="CJ7" s="210" t="e">
        <f>IF(CJ2&lt;&gt;"",VLOOKUP(CJ$2,CHOOSE({1,2},'Name List'!$B$3:$B$1000,'Name List'!$D$3:$D$1000),2,FALSE),"")</f>
        <v>#N/A</v>
      </c>
      <c r="CK7" s="210" t="e">
        <f>IF(CK2&lt;&gt;"",VLOOKUP(CK$2,CHOOSE({1,2},'Name List'!$B$3:$B$1000,'Name List'!$D$3:$D$1000),2,FALSE),"")</f>
        <v>#N/A</v>
      </c>
      <c r="CL7" s="210" t="e">
        <f>IF(CL2&lt;&gt;"",VLOOKUP(CL$2,CHOOSE({1,2},'Name List'!$B$3:$B$1000,'Name List'!$D$3:$D$1000),2,FALSE),"")</f>
        <v>#N/A</v>
      </c>
      <c r="CM7" s="210">
        <f>IF(CM2&lt;&gt;"",VLOOKUP(CM$2,CHOOSE({1,2},'Name List'!$B$3:$B$1000,'Name List'!$D$3:$D$1000),2,FALSE),"")</f>
        <v>0</v>
      </c>
      <c r="CN7" s="210" t="e">
        <f>IF(CN2&lt;&gt;"",VLOOKUP(CN$2,CHOOSE({1,2},'Name List'!$B$3:$B$1000,'Name List'!$D$3:$D$1000),2,FALSE),"")</f>
        <v>#N/A</v>
      </c>
      <c r="CO7" s="210" t="str">
        <f>IF(CO2&lt;&gt;"",VLOOKUP(CO$2,CHOOSE({1,2},'Name List'!$B$3:$B$1000,'Name List'!$D$3:$D$1000),2,FALSE),"")</f>
        <v/>
      </c>
      <c r="CP7" s="210" t="str">
        <f>IF(CP2&lt;&gt;"",VLOOKUP(CP$2,CHOOSE({1,2},'Name List'!$B$3:$B$1000,'Name List'!$D$3:$D$1000),2,FALSE),"")</f>
        <v/>
      </c>
      <c r="CQ7" s="210" t="str">
        <f>IF(CQ2&lt;&gt;"",VLOOKUP(CQ$2,CHOOSE({1,2},'Name List'!$B$3:$B$1000,'Name List'!$D$3:$D$1000),2,FALSE),"")</f>
        <v/>
      </c>
      <c r="CR7" s="210" t="str">
        <f>IF(CR2&lt;&gt;"",VLOOKUP(CR$2,CHOOSE({1,2},'Name List'!$B$3:$B$1000,'Name List'!$D$3:$D$1000),2,FALSE),"")</f>
        <v/>
      </c>
      <c r="CS7" s="210" t="str">
        <f>IF(CS2&lt;&gt;"",VLOOKUP(CS$2,CHOOSE({1,2},'Name List'!$B$3:$B$1000,'Name List'!$D$3:$D$1000),2,FALSE),"")</f>
        <v/>
      </c>
      <c r="CT7" s="210" t="str">
        <f>IF(CT2&lt;&gt;"",VLOOKUP(CT$2,CHOOSE({1,2},'Name List'!$B$3:$B$1000,'Name List'!$D$3:$D$1000),2,FALSE),"")</f>
        <v/>
      </c>
      <c r="CU7" s="210" t="str">
        <f>IF(CU2&lt;&gt;"",VLOOKUP(CU$2,CHOOSE({1,2},'Name List'!$B$3:$B$1000,'Name List'!$D$3:$D$1000),2,FALSE),"")</f>
        <v/>
      </c>
      <c r="CV7" s="210" t="str">
        <f>IF(CV2&lt;&gt;"",VLOOKUP(CV$2,CHOOSE({1,2},'Name List'!$B$3:$B$1000,'Name List'!$D$3:$D$1000),2,FALSE),"")</f>
        <v/>
      </c>
      <c r="CW7" s="210" t="str">
        <f>IF(CW2&lt;&gt;"",VLOOKUP(CW$2,CHOOSE({1,2},'Name List'!$B$3:$B$1000,'Name List'!$D$3:$D$1000),2,FALSE),"")</f>
        <v/>
      </c>
      <c r="CX7" s="210" t="str">
        <f>IF(CX2&lt;&gt;"",VLOOKUP(CX$2,CHOOSE({1,2},'Name List'!$B$3:$B$1000,'Name List'!$D$3:$D$1000),2,FALSE),"")</f>
        <v/>
      </c>
      <c r="CY7" s="210" t="str">
        <f>IF(CY2&lt;&gt;"",VLOOKUP(CY$2,CHOOSE({1,2},'Name List'!$B$3:$B$1000,'Name List'!$D$3:$D$1000),2,FALSE),"")</f>
        <v/>
      </c>
      <c r="CZ7" s="210" t="str">
        <f>IF(CZ2&lt;&gt;"",VLOOKUP(CZ$2,CHOOSE({1,2},'Name List'!$B$3:$B$1000,'Name List'!$D$3:$D$1000),2,FALSE),"")</f>
        <v/>
      </c>
      <c r="DA7" s="210" t="str">
        <f>IF(DA2&lt;&gt;"",VLOOKUP(DA$2,CHOOSE({1,2},'Name List'!$B$3:$B$1000,'Name List'!$D$3:$D$1000),2,FALSE),"")</f>
        <v/>
      </c>
      <c r="DB7" s="210" t="str">
        <f>IF(DB2&lt;&gt;"",VLOOKUP(DB$2,CHOOSE({1,2},'Name List'!$B$3:$B$1000,'Name List'!$D$3:$D$1000),2,FALSE),"")</f>
        <v/>
      </c>
      <c r="DC7" s="210" t="str">
        <f>IF(DC2&lt;&gt;"",VLOOKUP(DC$2,CHOOSE({1,2},'Name List'!$B$3:$B$1000,'Name List'!$D$3:$D$1000),2,FALSE),"")</f>
        <v/>
      </c>
      <c r="DD7" s="210" t="str">
        <f>IF(DD2&lt;&gt;"",VLOOKUP(DD$2,CHOOSE({1,2},'Name List'!$B$3:$B$1000,'Name List'!$D$3:$D$1000),2,FALSE),"")</f>
        <v/>
      </c>
      <c r="DE7" s="210" t="str">
        <f>IF(DE2&lt;&gt;"",VLOOKUP(DE$2,CHOOSE({1,2},'Name List'!$B$3:$B$1000,'Name List'!$D$3:$D$1000),2,FALSE),"")</f>
        <v/>
      </c>
      <c r="DF7" s="210" t="str">
        <f>IF(DF2&lt;&gt;"",VLOOKUP(DF$2,CHOOSE({1,2},'Name List'!$B$3:$B$1000,'Name List'!$D$3:$D$1000),2,FALSE),"")</f>
        <v/>
      </c>
      <c r="DG7" s="210" t="str">
        <f>IF(DG2&lt;&gt;"",VLOOKUP(DG$2,CHOOSE({1,2},'Name List'!$B$3:$B$1000,'Name List'!$D$3:$D$1000),2,FALSE),"")</f>
        <v/>
      </c>
      <c r="DH7" s="210" t="str">
        <f>IF(DH2&lt;&gt;"",VLOOKUP(DH$2,CHOOSE({1,2},'Name List'!$B$3:$B$1000,'Name List'!$D$3:$D$1000),2,FALSE),"")</f>
        <v/>
      </c>
      <c r="DI7" s="210" t="str">
        <f>IF(DI2&lt;&gt;"",VLOOKUP(DI$2,CHOOSE({1,2},'Name List'!$B$3:$B$1000,'Name List'!$D$3:$D$1000),2,FALSE),"")</f>
        <v/>
      </c>
      <c r="DJ7" s="210" t="str">
        <f>IF(DJ2&lt;&gt;"",VLOOKUP(DJ$2,CHOOSE({1,2},'Name List'!$B$3:$B$1000,'Name List'!$D$3:$D$1000),2,FALSE),"")</f>
        <v/>
      </c>
      <c r="DK7" s="210" t="str">
        <f>IF(DK2&lt;&gt;"",VLOOKUP(DK$2,CHOOSE({1,2},'Name List'!$B$3:$B$1000,'Name List'!$D$3:$D$1000),2,FALSE),"")</f>
        <v/>
      </c>
      <c r="DL7" s="210" t="str">
        <f>IF(DL2&lt;&gt;"",VLOOKUP(DL$2,CHOOSE({1,2},'Name List'!$B$3:$B$1000,'Name List'!$D$3:$D$1000),2,FALSE),"")</f>
        <v/>
      </c>
      <c r="DM7" s="210" t="str">
        <f>IF(DM2&lt;&gt;"",VLOOKUP(DM$2,CHOOSE({1,2},'Name List'!$B$3:$B$1000,'Name List'!$D$3:$D$1000),2,FALSE),"")</f>
        <v/>
      </c>
      <c r="DN7" s="210" t="str">
        <f>IF(DN2&lt;&gt;"",VLOOKUP(DN$2,CHOOSE({1,2},'Name List'!$B$3:$B$1000,'Name List'!$D$3:$D$1000),2,FALSE),"")</f>
        <v/>
      </c>
      <c r="DO7" s="210" t="str">
        <f>IF(DO2&lt;&gt;"",VLOOKUP(DO$2,CHOOSE({1,2},'Name List'!$B$3:$B$1000,'Name List'!$D$3:$D$1000),2,FALSE),"")</f>
        <v/>
      </c>
      <c r="DP7" s="210" t="str">
        <f>IF(DP2&lt;&gt;"",VLOOKUP(DP$2,CHOOSE({1,2},'Name List'!$B$3:$B$1000,'Name List'!$D$3:$D$1000),2,FALSE),"")</f>
        <v/>
      </c>
      <c r="DQ7" s="210" t="str">
        <f>IF(DQ2&lt;&gt;"",VLOOKUP(DQ$2,CHOOSE({1,2},'Name List'!$B$3:$B$1000,'Name List'!$D$3:$D$1000),2,FALSE),"")</f>
        <v/>
      </c>
      <c r="DR7" s="210" t="str">
        <f>IF(DR2&lt;&gt;"",VLOOKUP(DR$2,CHOOSE({1,2},'Name List'!$B$3:$B$1000,'Name List'!$D$3:$D$1000),2,FALSE),"")</f>
        <v/>
      </c>
      <c r="DS7" s="210" t="str">
        <f>IF(DS2&lt;&gt;"",VLOOKUP(DS$2,CHOOSE({1,2},'Name List'!$B$3:$B$1000,'Name List'!$D$3:$D$1000),2,FALSE),"")</f>
        <v/>
      </c>
      <c r="DT7" s="210" t="str">
        <f>IF(DT2&lt;&gt;"",VLOOKUP(DT$2,CHOOSE({1,2},'Name List'!$B$3:$B$1000,'Name List'!$D$3:$D$1000),2,FALSE),"")</f>
        <v/>
      </c>
      <c r="DU7" s="210" t="str">
        <f>IF(DU2&lt;&gt;"",VLOOKUP(DU$2,CHOOSE({1,2},'Name List'!$B$3:$B$1000,'Name List'!$D$3:$D$1000),2,FALSE),"")</f>
        <v/>
      </c>
      <c r="DV7" s="210" t="str">
        <f>IF(DV2&lt;&gt;"",VLOOKUP(DV$2,CHOOSE({1,2},'Name List'!$B$3:$B$1000,'Name List'!$D$3:$D$1000),2,FALSE),"")</f>
        <v/>
      </c>
      <c r="DW7" s="210" t="str">
        <f>IF(DW2&lt;&gt;"",VLOOKUP(DW$2,CHOOSE({1,2},'Name List'!$B$3:$B$1000,'Name List'!$D$3:$D$1000),2,FALSE),"")</f>
        <v/>
      </c>
      <c r="DX7" s="210" t="str">
        <f>IF(DX2&lt;&gt;"",VLOOKUP(DX$2,CHOOSE({1,2},'Name List'!$B$3:$B$1000,'Name List'!$D$3:$D$1000),2,FALSE),"")</f>
        <v/>
      </c>
      <c r="DY7" s="210" t="str">
        <f>IF(DY2&lt;&gt;"",VLOOKUP(DY$2,CHOOSE({1,2},'Name List'!$B$3:$B$1000,'Name List'!$D$3:$D$1000),2,FALSE),"")</f>
        <v/>
      </c>
      <c r="DZ7" s="210" t="str">
        <f>IF(DZ2&lt;&gt;"",VLOOKUP(DZ$2,CHOOSE({1,2},'Name List'!$B$3:$B$1000,'Name List'!$D$3:$D$1000),2,FALSE),"")</f>
        <v/>
      </c>
      <c r="EA7" s="210" t="str">
        <f>IF(EA2&lt;&gt;"",VLOOKUP(EA$2,CHOOSE({1,2},'Name List'!$B$3:$B$1000,'Name List'!$D$3:$D$1000),2,FALSE),"")</f>
        <v/>
      </c>
      <c r="EB7" s="210" t="str">
        <f>IF(EB2&lt;&gt;"",VLOOKUP(EB$2,CHOOSE({1,2},'Name List'!$B$3:$B$1000,'Name List'!$D$3:$D$1000),2,FALSE),"")</f>
        <v/>
      </c>
      <c r="EC7" s="210" t="str">
        <f>IF(EC2&lt;&gt;"",VLOOKUP(EC$2,CHOOSE({1,2},'Name List'!$B$3:$B$1000,'Name List'!$D$3:$D$1000),2,FALSE),"")</f>
        <v/>
      </c>
      <c r="ED7" s="210" t="str">
        <f>IF(ED2&lt;&gt;"",VLOOKUP(ED$2,CHOOSE({1,2},'Name List'!$B$3:$B$1000,'Name List'!$D$3:$D$1000),2,FALSE),"")</f>
        <v/>
      </c>
      <c r="EE7" s="210" t="str">
        <f>IF(EE2&lt;&gt;"",VLOOKUP(EE$2,CHOOSE({1,2},'Name List'!$B$3:$B$1000,'Name List'!$D$3:$D$1000),2,FALSE),"")</f>
        <v/>
      </c>
      <c r="EF7" s="210" t="str">
        <f>IF(EF2&lt;&gt;"",VLOOKUP(EF$2,CHOOSE({1,2},'Name List'!$B$3:$B$1000,'Name List'!$D$3:$D$1000),2,FALSE),"")</f>
        <v/>
      </c>
      <c r="EG7" s="210" t="str">
        <f>IF(EG2&lt;&gt;"",VLOOKUP(EG$2,CHOOSE({1,2},'Name List'!$B$3:$B$1000,'Name List'!$D$3:$D$1000),2,FALSE),"")</f>
        <v/>
      </c>
      <c r="EH7" s="210" t="str">
        <f>IF(EH2&lt;&gt;"",VLOOKUP(EH$2,CHOOSE({1,2},'Name List'!$B$3:$B$1000,'Name List'!$D$3:$D$1000),2,FALSE),"")</f>
        <v/>
      </c>
      <c r="EI7" s="210" t="str">
        <f>IF(EI2&lt;&gt;"",VLOOKUP(EI$2,CHOOSE({1,2},'Name List'!$B$3:$B$1000,'Name List'!$D$3:$D$1000),2,FALSE),"")</f>
        <v/>
      </c>
      <c r="EJ7" s="210" t="str">
        <f>IF(EJ2&lt;&gt;"",VLOOKUP(EJ$2,CHOOSE({1,2},'Name List'!$B$3:$B$1000,'Name List'!$D$3:$D$1000),2,FALSE),"")</f>
        <v/>
      </c>
      <c r="EK7" s="210" t="str">
        <f>IF(EK2&lt;&gt;"",VLOOKUP(EK$2,CHOOSE({1,2},'Name List'!$B$3:$B$1000,'Name List'!$D$3:$D$1000),2,FALSE),"")</f>
        <v/>
      </c>
      <c r="EL7" s="210" t="str">
        <f>IF(EL2&lt;&gt;"",VLOOKUP(EL$2,CHOOSE({1,2},'Name List'!$B$3:$B$1000,'Name List'!$D$3:$D$1000),2,FALSE),"")</f>
        <v/>
      </c>
      <c r="EM7" s="210" t="str">
        <f>IF(EM2&lt;&gt;"",VLOOKUP(EM$2,CHOOSE({1,2},'Name List'!$B$3:$B$1000,'Name List'!$D$3:$D$1000),2,FALSE),"")</f>
        <v/>
      </c>
      <c r="EN7" s="210" t="str">
        <f>IF(EN2&lt;&gt;"",VLOOKUP(EN$2,CHOOSE({1,2},'Name List'!$B$3:$B$1000,'Name List'!$D$3:$D$1000),2,FALSE),"")</f>
        <v/>
      </c>
      <c r="EO7" s="210" t="str">
        <f>IF(EO2&lt;&gt;"",VLOOKUP(EO$2,CHOOSE({1,2},'Name List'!$B$3:$B$1000,'Name List'!$D$3:$D$1000),2,FALSE),"")</f>
        <v/>
      </c>
      <c r="EP7" s="210" t="str">
        <f>IF(EP2&lt;&gt;"",VLOOKUP(EP$2,CHOOSE({1,2},'Name List'!$B$3:$B$1000,'Name List'!$D$3:$D$1000),2,FALSE),"")</f>
        <v/>
      </c>
      <c r="EQ7" s="210" t="str">
        <f>IF(EQ2&lt;&gt;"",VLOOKUP(EQ$2,CHOOSE({1,2},'Name List'!$B$3:$B$1000,'Name List'!$D$3:$D$1000),2,FALSE),"")</f>
        <v/>
      </c>
      <c r="ER7" s="210" t="str">
        <f>IF(ER2&lt;&gt;"",VLOOKUP(ER$2,CHOOSE({1,2},'Name List'!$B$3:$B$1000,'Name List'!$D$3:$D$1000),2,FALSE),"")</f>
        <v/>
      </c>
      <c r="ES7" s="210" t="str">
        <f>IF(ES2&lt;&gt;"",VLOOKUP(ES$2,CHOOSE({1,2},'Name List'!$B$3:$B$1000,'Name List'!$D$3:$D$1000),2,FALSE),"")</f>
        <v/>
      </c>
      <c r="ET7" s="210" t="str">
        <f>IF(ET2&lt;&gt;"",VLOOKUP(ET$2,CHOOSE({1,2},'Name List'!$B$3:$B$1000,'Name List'!$D$3:$D$1000),2,FALSE),"")</f>
        <v/>
      </c>
      <c r="EU7" s="210" t="str">
        <f>IF(EU2&lt;&gt;"",VLOOKUP(EU$2,CHOOSE({1,2},'Name List'!$B$3:$B$1000,'Name List'!$D$3:$D$1000),2,FALSE),"")</f>
        <v/>
      </c>
      <c r="EV7" s="210" t="str">
        <f>IF(EV2&lt;&gt;"",VLOOKUP(EV$2,CHOOSE({1,2},'Name List'!$B$3:$B$1000,'Name List'!$D$3:$D$1000),2,FALSE),"")</f>
        <v/>
      </c>
      <c r="EW7" s="210" t="str">
        <f>IF(EW2&lt;&gt;"",VLOOKUP(EW$2,CHOOSE({1,2},'Name List'!$B$3:$B$1000,'Name List'!$D$3:$D$1000),2,FALSE),"")</f>
        <v/>
      </c>
      <c r="EX7" s="210" t="str">
        <f>IF(EX2&lt;&gt;"",VLOOKUP(EX$2,CHOOSE({1,2},'Name List'!$B$3:$B$1000,'Name List'!$D$3:$D$1000),2,FALSE),"")</f>
        <v/>
      </c>
      <c r="EY7" s="210" t="str">
        <f>IF(EY2&lt;&gt;"",VLOOKUP(EY$2,CHOOSE({1,2},'Name List'!$B$3:$B$1000,'Name List'!$D$3:$D$1000),2,FALSE),"")</f>
        <v/>
      </c>
      <c r="EZ7" s="210" t="str">
        <f>IF(EZ2&lt;&gt;"",VLOOKUP(EZ$2,CHOOSE({1,2},'Name List'!$B$3:$B$1000,'Name List'!$D$3:$D$1000),2,FALSE),"")</f>
        <v/>
      </c>
      <c r="FA7" s="210" t="str">
        <f>IF(FA2&lt;&gt;"",VLOOKUP(FA$2,CHOOSE({1,2},'Name List'!$B$3:$B$1000,'Name List'!$D$3:$D$1000),2,FALSE),"")</f>
        <v/>
      </c>
      <c r="FB7" s="210" t="str">
        <f>IF(FB2&lt;&gt;"",VLOOKUP(FB$2,CHOOSE({1,2},'Name List'!$B$3:$B$1000,'Name List'!$D$3:$D$1000),2,FALSE),"")</f>
        <v/>
      </c>
      <c r="FC7" s="210" t="str">
        <f>IF(FC2&lt;&gt;"",VLOOKUP(FC$2,CHOOSE({1,2},'Name List'!$B$3:$B$1000,'Name List'!$D$3:$D$1000),2,FALSE),"")</f>
        <v/>
      </c>
      <c r="FD7" s="210" t="str">
        <f>IF(FD2&lt;&gt;"",VLOOKUP(FD$2,CHOOSE({1,2},'Name List'!$B$3:$B$1000,'Name List'!$D$3:$D$1000),2,FALSE),"")</f>
        <v/>
      </c>
      <c r="FE7" s="210" t="str">
        <f>IF(FE2&lt;&gt;"",VLOOKUP(FE$2,CHOOSE({1,2},'Name List'!$B$3:$B$1000,'Name List'!$D$3:$D$1000),2,FALSE),"")</f>
        <v/>
      </c>
      <c r="FF7" s="210" t="str">
        <f>IF(FF2&lt;&gt;"",VLOOKUP(FF$2,CHOOSE({1,2},'Name List'!$B$3:$B$1000,'Name List'!$D$3:$D$1000),2,FALSE),"")</f>
        <v/>
      </c>
      <c r="FG7" s="210" t="str">
        <f>IF(FG2&lt;&gt;"",VLOOKUP(FG$2,CHOOSE({1,2},'Name List'!$B$3:$B$1000,'Name List'!$D$3:$D$1000),2,FALSE),"")</f>
        <v/>
      </c>
      <c r="FH7" s="210" t="str">
        <f>IF(FH2&lt;&gt;"",VLOOKUP(FH$2,CHOOSE({1,2},'Name List'!$B$3:$B$1000,'Name List'!$D$3:$D$1000),2,FALSE),"")</f>
        <v/>
      </c>
      <c r="FI7" s="210" t="str">
        <f>IF(FI2&lt;&gt;"",VLOOKUP(FI$2,CHOOSE({1,2},'Name List'!$B$3:$B$1000,'Name List'!$D$3:$D$1000),2,FALSE),"")</f>
        <v/>
      </c>
      <c r="FJ7" s="210" t="str">
        <f>IF(FJ2&lt;&gt;"",VLOOKUP(FJ$2,CHOOSE({1,2},'Name List'!$B$3:$B$1000,'Name List'!$D$3:$D$1000),2,FALSE),"")</f>
        <v/>
      </c>
      <c r="FK7" s="210" t="str">
        <f>IF(FK2&lt;&gt;"",VLOOKUP(FK$2,CHOOSE({1,2},'Name List'!$B$3:$B$1000,'Name List'!$D$3:$D$1000),2,FALSE),"")</f>
        <v/>
      </c>
      <c r="FL7" s="210" t="str">
        <f>IF(FL2&lt;&gt;"",VLOOKUP(FL$2,CHOOSE({1,2},'Name List'!$B$3:$B$1000,'Name List'!$D$3:$D$1000),2,FALSE),"")</f>
        <v/>
      </c>
      <c r="FM7" s="210" t="str">
        <f>IF(FM2&lt;&gt;"",VLOOKUP(FM$2,CHOOSE({1,2},'Name List'!$B$3:$B$1000,'Name List'!$D$3:$D$1000),2,FALSE),"")</f>
        <v/>
      </c>
      <c r="FN7" s="210" t="str">
        <f>IF(FN2&lt;&gt;"",VLOOKUP(FN$2,CHOOSE({1,2},'Name List'!$B$3:$B$1000,'Name List'!$D$3:$D$1000),2,FALSE),"")</f>
        <v/>
      </c>
      <c r="FO7" s="210" t="str">
        <f>IF(FO2&lt;&gt;"",VLOOKUP(FO$2,CHOOSE({1,2},'Name List'!$B$3:$B$1000,'Name List'!$D$3:$D$1000),2,FALSE),"")</f>
        <v/>
      </c>
      <c r="FP7" s="210" t="str">
        <f>IF(FP2&lt;&gt;"",VLOOKUP(FP$2,CHOOSE({1,2},'Name List'!$B$3:$B$1000,'Name List'!$D$3:$D$1000),2,FALSE),"")</f>
        <v/>
      </c>
      <c r="FQ7" s="210" t="str">
        <f>IF(FQ2&lt;&gt;"",VLOOKUP(FQ$2,CHOOSE({1,2},'Name List'!$B$3:$B$1000,'Name List'!$D$3:$D$1000),2,FALSE),"")</f>
        <v/>
      </c>
      <c r="FR7" s="210" t="str">
        <f>IF(FR2&lt;&gt;"",VLOOKUP(FR$2,CHOOSE({1,2},'Name List'!$B$3:$B$1000,'Name List'!$D$3:$D$1000),2,FALSE),"")</f>
        <v/>
      </c>
      <c r="FS7" s="210" t="str">
        <f>IF(FS2&lt;&gt;"",VLOOKUP(FS$2,CHOOSE({1,2},'Name List'!$B$3:$B$1000,'Name List'!$D$3:$D$1000),2,FALSE),"")</f>
        <v/>
      </c>
      <c r="FT7" s="210" t="str">
        <f>IF(FT2&lt;&gt;"",VLOOKUP(FT$2,CHOOSE({1,2},'Name List'!$B$3:$B$1000,'Name List'!$D$3:$D$1000),2,FALSE),"")</f>
        <v/>
      </c>
      <c r="FU7" s="210" t="str">
        <f>IF(FU2&lt;&gt;"",VLOOKUP(FU$2,CHOOSE({1,2},'Name List'!$B$3:$B$1000,'Name List'!$D$3:$D$1000),2,FALSE),"")</f>
        <v/>
      </c>
      <c r="FV7" s="210" t="str">
        <f>IF(FV2&lt;&gt;"",VLOOKUP(FV$2,CHOOSE({1,2},'Name List'!$B$3:$B$1000,'Name List'!$D$3:$D$1000),2,FALSE),"")</f>
        <v/>
      </c>
      <c r="FW7" s="210" t="str">
        <f>IF(FW2&lt;&gt;"",VLOOKUP(FW$2,CHOOSE({1,2},'Name List'!$B$3:$B$1000,'Name List'!$D$3:$D$1000),2,FALSE),"")</f>
        <v/>
      </c>
      <c r="FX7" s="210" t="str">
        <f>IF(FX2&lt;&gt;"",VLOOKUP(FX$2,CHOOSE({1,2},'Name List'!$B$3:$B$1000,'Name List'!$D$3:$D$1000),2,FALSE),"")</f>
        <v/>
      </c>
      <c r="FY7" s="210" t="str">
        <f>IF(FY2&lt;&gt;"",VLOOKUP(FY$2,CHOOSE({1,2},'Name List'!$B$3:$B$1000,'Name List'!$D$3:$D$1000),2,FALSE),"")</f>
        <v/>
      </c>
      <c r="FZ7" s="210" t="str">
        <f>IF(FZ2&lt;&gt;"",VLOOKUP(FZ$2,CHOOSE({1,2},'Name List'!$B$3:$B$1000,'Name List'!$D$3:$D$1000),2,FALSE),"")</f>
        <v/>
      </c>
      <c r="GA7" s="210" t="str">
        <f>IF(GA2&lt;&gt;"",VLOOKUP(GA$2,CHOOSE({1,2},'Name List'!$B$3:$B$1000,'Name List'!$D$3:$D$1000),2,FALSE),"")</f>
        <v/>
      </c>
      <c r="GB7" s="210" t="str">
        <f>IF(GB2&lt;&gt;"",VLOOKUP(GB$2,CHOOSE({1,2},'Name List'!$B$3:$B$1000,'Name List'!$D$3:$D$1000),2,FALSE),"")</f>
        <v/>
      </c>
      <c r="GC7" s="210" t="str">
        <f>IF(GC2&lt;&gt;"",VLOOKUP(GC$2,CHOOSE({1,2},'Name List'!$B$3:$B$1000,'Name List'!$D$3:$D$1000),2,FALSE),"")</f>
        <v/>
      </c>
      <c r="GD7" s="210" t="str">
        <f>IF(GD2&lt;&gt;"",VLOOKUP(GD$2,CHOOSE({1,2},'Name List'!$B$3:$B$1000,'Name List'!$D$3:$D$1000),2,FALSE),"")</f>
        <v/>
      </c>
      <c r="GE7" s="210" t="str">
        <f>IF(GE2&lt;&gt;"",VLOOKUP(GE$2,CHOOSE({1,2},'Name List'!$B$3:$B$1000,'Name List'!$D$3:$D$1000),2,FALSE),"")</f>
        <v/>
      </c>
      <c r="GF7" s="210" t="str">
        <f>IF(GF2&lt;&gt;"",VLOOKUP(GF$2,CHOOSE({1,2},'Name List'!$B$3:$B$1000,'Name List'!$D$3:$D$1000),2,FALSE),"")</f>
        <v/>
      </c>
      <c r="GG7" s="210" t="str">
        <f>IF(GG2&lt;&gt;"",VLOOKUP(GG$2,CHOOSE({1,2},'Name List'!$B$3:$B$1000,'Name List'!$D$3:$D$1000),2,FALSE),"")</f>
        <v/>
      </c>
      <c r="GH7" s="210" t="str">
        <f>IF(GH2&lt;&gt;"",VLOOKUP(GH$2,CHOOSE({1,2},'Name List'!$B$3:$B$1000,'Name List'!$D$3:$D$1000),2,FALSE),"")</f>
        <v/>
      </c>
      <c r="GI7" s="210" t="str">
        <f>IF(GI2&lt;&gt;"",VLOOKUP(GI$2,CHOOSE({1,2},'Name List'!$B$3:$B$1000,'Name List'!$D$3:$D$1000),2,FALSE),"")</f>
        <v/>
      </c>
      <c r="GJ7" s="210" t="str">
        <f>IF(GJ2&lt;&gt;"",VLOOKUP(GJ$2,CHOOSE({1,2},'Name List'!$B$3:$B$1000,'Name List'!$D$3:$D$1000),2,FALSE),"")</f>
        <v/>
      </c>
      <c r="GK7" s="210" t="str">
        <f>IF(GK2&lt;&gt;"",VLOOKUP(GK$2,CHOOSE({1,2},'Name List'!$B$3:$B$1000,'Name List'!$D$3:$D$1000),2,FALSE),"")</f>
        <v/>
      </c>
      <c r="GL7" s="210" t="str">
        <f>IF(GL2&lt;&gt;"",VLOOKUP(GL$2,CHOOSE({1,2},'Name List'!$B$3:$B$1000,'Name List'!$D$3:$D$1000),2,FALSE),"")</f>
        <v/>
      </c>
      <c r="GM7" s="210" t="str">
        <f>IF(GM2&lt;&gt;"",VLOOKUP(GM$2,CHOOSE({1,2},'Name List'!$B$3:$B$1000,'Name List'!$D$3:$D$1000),2,FALSE),"")</f>
        <v/>
      </c>
      <c r="GN7" s="210" t="str">
        <f>IF(GN2&lt;&gt;"",VLOOKUP(GN$2,CHOOSE({1,2},'Name List'!$B$3:$B$1000,'Name List'!$D$3:$D$1000),2,FALSE),"")</f>
        <v/>
      </c>
      <c r="GO7" s="210" t="str">
        <f>IF(GO2&lt;&gt;"",VLOOKUP(GO$2,CHOOSE({1,2},'Name List'!$B$3:$B$1000,'Name List'!$D$3:$D$1000),2,FALSE),"")</f>
        <v/>
      </c>
      <c r="GP7" s="210" t="str">
        <f>IF(GP2&lt;&gt;"",VLOOKUP(GP$2,CHOOSE({1,2},'Name List'!$B$3:$B$1000,'Name List'!$D$3:$D$1000),2,FALSE),"")</f>
        <v/>
      </c>
      <c r="GQ7" s="210" t="str">
        <f>IF(GQ2&lt;&gt;"",VLOOKUP(GQ$2,CHOOSE({1,2},'Name List'!$B$3:$B$1000,'Name List'!$D$3:$D$1000),2,FALSE),"")</f>
        <v/>
      </c>
      <c r="GR7" s="210" t="str">
        <f>IF(GR2&lt;&gt;"",VLOOKUP(GR$2,CHOOSE({1,2},'Name List'!$B$3:$B$1000,'Name List'!$D$3:$D$1000),2,FALSE),"")</f>
        <v/>
      </c>
      <c r="GS7" s="210" t="str">
        <f>IF(GS2&lt;&gt;"",VLOOKUP(GS$2,CHOOSE({1,2},'Name List'!$B$3:$B$1000,'Name List'!$D$3:$D$1000),2,FALSE),"")</f>
        <v/>
      </c>
      <c r="GT7" s="210" t="str">
        <f>IF(GT2&lt;&gt;"",VLOOKUP(GT$2,CHOOSE({1,2},'Name List'!$B$3:$B$1000,'Name List'!$D$3:$D$1000),2,FALSE),"")</f>
        <v/>
      </c>
      <c r="GU7" s="210" t="str">
        <f>IF(GU2&lt;&gt;"",VLOOKUP(GU$2,CHOOSE({1,2},'Name List'!$B$3:$B$1000,'Name List'!$D$3:$D$1000),2,FALSE),"")</f>
        <v/>
      </c>
      <c r="GV7" s="210" t="str">
        <f>IF(GV2&lt;&gt;"",VLOOKUP(GV$2,CHOOSE({1,2},'Name List'!$B$3:$B$1000,'Name List'!$D$3:$D$1000),2,FALSE),"")</f>
        <v/>
      </c>
      <c r="GW7" s="210" t="str">
        <f>IF(GW2&lt;&gt;"",VLOOKUP(GW$2,CHOOSE({1,2},'Name List'!$B$3:$B$1000,'Name List'!$D$3:$D$1000),2,FALSE),"")</f>
        <v/>
      </c>
      <c r="GX7" s="210" t="str">
        <f>IF(GX2&lt;&gt;"",VLOOKUP(GX$2,CHOOSE({1,2},'Name List'!$B$3:$B$1000,'Name List'!$D$3:$D$1000),2,FALSE),"")</f>
        <v/>
      </c>
      <c r="GY7" s="210" t="str">
        <f>IF(GY2&lt;&gt;"",VLOOKUP(GY$2,CHOOSE({1,2},'Name List'!$B$3:$B$1000,'Name List'!$D$3:$D$1000),2,FALSE),"")</f>
        <v/>
      </c>
      <c r="GZ7" s="210" t="str">
        <f>IF(GZ2&lt;&gt;"",VLOOKUP(GZ$2,CHOOSE({1,2},'Name List'!$B$3:$B$1000,'Name List'!$D$3:$D$1000),2,FALSE),"")</f>
        <v/>
      </c>
      <c r="HA7" s="210" t="str">
        <f>IF(HA2&lt;&gt;"",VLOOKUP(HA$2,CHOOSE({1,2},'Name List'!$B$3:$B$1000,'Name List'!$D$3:$D$1000),2,FALSE),"")</f>
        <v/>
      </c>
      <c r="HB7" s="210" t="str">
        <f>IF(HB2&lt;&gt;"",VLOOKUP(HB$2,CHOOSE({1,2},'Name List'!$B$3:$B$1000,'Name List'!$D$3:$D$1000),2,FALSE),"")</f>
        <v/>
      </c>
      <c r="HC7" s="210" t="str">
        <f>IF(HC2&lt;&gt;"",VLOOKUP(HC$2,CHOOSE({1,2},'Name List'!$B$3:$B$1000,'Name List'!$D$3:$D$1000),2,FALSE),"")</f>
        <v/>
      </c>
      <c r="HD7" s="210" t="str">
        <f>IF(HD2&lt;&gt;"",VLOOKUP(HD$2,CHOOSE({1,2},'Name List'!$B$3:$B$1000,'Name List'!$D$3:$D$1000),2,FALSE),"")</f>
        <v/>
      </c>
      <c r="HE7" s="210" t="str">
        <f>IF(HE2&lt;&gt;"",VLOOKUP(HE$2,CHOOSE({1,2},'Name List'!$B$3:$B$1000,'Name List'!$D$3:$D$1000),2,FALSE),"")</f>
        <v/>
      </c>
      <c r="HF7" s="210" t="str">
        <f>IF(HF2&lt;&gt;"",VLOOKUP(HF$2,CHOOSE({1,2},'Name List'!$B$3:$B$1000,'Name List'!$D$3:$D$1000),2,FALSE),"")</f>
        <v/>
      </c>
      <c r="HG7" s="210" t="str">
        <f>IF(HG2&lt;&gt;"",VLOOKUP(HG$2,CHOOSE({1,2},'Name List'!$B$3:$B$1000,'Name List'!$D$3:$D$1000),2,FALSE),"")</f>
        <v/>
      </c>
      <c r="HH7" s="210" t="str">
        <f>IF(HH2&lt;&gt;"",VLOOKUP(HH$2,CHOOSE({1,2},'Name List'!$B$3:$B$1000,'Name List'!$D$3:$D$1000),2,FALSE),"")</f>
        <v/>
      </c>
      <c r="HI7" s="210" t="str">
        <f>IF(HI2&lt;&gt;"",VLOOKUP(HI$2,CHOOSE({1,2},'Name List'!$B$3:$B$1000,'Name List'!$D$3:$D$1000),2,FALSE),"")</f>
        <v/>
      </c>
      <c r="HJ7" s="210" t="str">
        <f>IF(HJ2&lt;&gt;"",VLOOKUP(HJ$2,CHOOSE({1,2},'Name List'!$B$3:$B$1000,'Name List'!$D$3:$D$1000),2,FALSE),"")</f>
        <v/>
      </c>
      <c r="HK7" s="210" t="str">
        <f>IF(HK2&lt;&gt;"",VLOOKUP(HK$2,CHOOSE({1,2},'Name List'!$B$3:$B$1000,'Name List'!$D$3:$D$1000),2,FALSE),"")</f>
        <v/>
      </c>
      <c r="HL7" s="210" t="str">
        <f>IF(HL2&lt;&gt;"",VLOOKUP(HL$2,CHOOSE({1,2},'Name List'!$B$3:$B$1000,'Name List'!$D$3:$D$1000),2,FALSE),"")</f>
        <v/>
      </c>
      <c r="HM7" s="210" t="str">
        <f>IF(HM2&lt;&gt;"",VLOOKUP(HM$2,CHOOSE({1,2},'Name List'!$B$3:$B$1000,'Name List'!$D$3:$D$1000),2,FALSE),"")</f>
        <v/>
      </c>
      <c r="HN7" s="210" t="str">
        <f>IF(HN2&lt;&gt;"",VLOOKUP(HN$2,CHOOSE({1,2},'Name List'!$B$3:$B$1000,'Name List'!$D$3:$D$1000),2,FALSE),"")</f>
        <v/>
      </c>
    </row>
    <row r="8" spans="1:222" s="196" customFormat="1" ht="9" customHeight="1" x14ac:dyDescent="0.3">
      <c r="B8" s="207"/>
      <c r="C8" s="208"/>
      <c r="D8" s="208"/>
      <c r="E8" s="208"/>
      <c r="F8" s="208"/>
      <c r="G8" s="208"/>
      <c r="H8" s="208"/>
      <c r="I8" s="208"/>
      <c r="J8" s="208"/>
      <c r="K8" s="208"/>
      <c r="L8" s="208"/>
      <c r="M8" s="208"/>
      <c r="N8" s="208"/>
      <c r="O8" s="208"/>
      <c r="P8" s="208"/>
      <c r="Q8" s="208"/>
      <c r="R8" s="208"/>
      <c r="S8" s="208"/>
      <c r="T8" s="208"/>
      <c r="U8" s="208"/>
      <c r="V8" s="208"/>
      <c r="W8" s="208"/>
      <c r="X8" s="208"/>
      <c r="Y8" s="208"/>
      <c r="Z8" s="208"/>
      <c r="AA8" s="208"/>
      <c r="AB8" s="208"/>
      <c r="AC8" s="208"/>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c r="BW8" s="208"/>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row>
    <row r="9" spans="1:222" s="196" customFormat="1" ht="6.45" customHeight="1" x14ac:dyDescent="0.3"/>
    <row r="10" spans="1:222" s="196" customFormat="1" ht="15" customHeight="1" thickBot="1" x14ac:dyDescent="0.35">
      <c r="A10" s="202">
        <v>1.1000000000000001</v>
      </c>
      <c r="B10" s="224" t="s">
        <v>9</v>
      </c>
      <c r="C10" s="209">
        <v>9</v>
      </c>
      <c r="D10" s="209"/>
      <c r="E10" s="209"/>
      <c r="F10" s="209"/>
      <c r="G10" s="209"/>
      <c r="H10" s="209"/>
      <c r="I10" s="209"/>
      <c r="J10" s="209"/>
      <c r="K10" s="209"/>
      <c r="L10" s="209"/>
      <c r="M10" s="209"/>
      <c r="N10" s="209"/>
      <c r="O10" s="209"/>
      <c r="P10" s="209"/>
      <c r="Q10" s="209"/>
      <c r="R10" s="209"/>
      <c r="S10" s="209"/>
      <c r="T10" s="209"/>
      <c r="U10" s="209"/>
      <c r="V10" s="209"/>
      <c r="W10" s="209"/>
      <c r="X10" s="209"/>
      <c r="Y10" s="209"/>
      <c r="Z10" s="209"/>
      <c r="AA10" s="209"/>
      <c r="AB10" s="209"/>
      <c r="AC10" s="209"/>
      <c r="AD10" s="209"/>
      <c r="AE10" s="209"/>
      <c r="AF10" s="209"/>
      <c r="AG10" s="209"/>
      <c r="AH10" s="209"/>
      <c r="AI10" s="209"/>
      <c r="AJ10" s="209"/>
      <c r="AK10" s="209"/>
      <c r="AL10" s="209"/>
      <c r="AM10" s="209"/>
      <c r="AN10" s="209"/>
      <c r="AO10" s="209"/>
      <c r="AP10" s="209"/>
      <c r="AQ10" s="209"/>
      <c r="AR10" s="209"/>
      <c r="AS10" s="209"/>
      <c r="AT10" s="209"/>
      <c r="AU10" s="209"/>
      <c r="AV10" s="209"/>
      <c r="AW10" s="209"/>
      <c r="AX10" s="209"/>
      <c r="AY10" s="209"/>
      <c r="AZ10" s="209"/>
      <c r="BA10" s="209"/>
      <c r="BB10" s="209"/>
      <c r="BC10" s="209"/>
      <c r="BD10" s="209"/>
      <c r="BE10" s="209"/>
      <c r="BF10" s="209"/>
      <c r="BG10" s="209"/>
      <c r="BH10" s="209"/>
      <c r="BI10" s="209"/>
      <c r="BJ10" s="209"/>
      <c r="BK10" s="209"/>
      <c r="BL10" s="209"/>
      <c r="BM10" s="209"/>
      <c r="BN10" s="209"/>
      <c r="BO10" s="209"/>
      <c r="BP10" s="209"/>
      <c r="BQ10" s="209"/>
      <c r="BR10" s="209"/>
      <c r="BS10" s="209"/>
      <c r="BT10" s="209"/>
      <c r="BU10" s="209"/>
      <c r="BV10" s="209"/>
      <c r="BW10" s="209"/>
      <c r="BX10" s="209"/>
      <c r="BY10" s="209"/>
      <c r="BZ10" s="209"/>
      <c r="CA10" s="209"/>
      <c r="CB10" s="209"/>
      <c r="CC10" s="209"/>
      <c r="CD10" s="209"/>
      <c r="CE10" s="209"/>
      <c r="CF10" s="209"/>
      <c r="CG10" s="209"/>
      <c r="CH10" s="209"/>
      <c r="CI10" s="209"/>
      <c r="CJ10" s="209"/>
      <c r="CK10" s="209"/>
      <c r="CL10" s="209"/>
      <c r="CM10" s="209"/>
      <c r="CN10" s="209"/>
      <c r="CO10" s="209"/>
      <c r="CP10" s="209"/>
      <c r="CQ10" s="209"/>
      <c r="CR10" s="209"/>
      <c r="CS10" s="209"/>
      <c r="CT10" s="209"/>
      <c r="CU10" s="209"/>
      <c r="CV10" s="209"/>
      <c r="CW10" s="209"/>
      <c r="CX10" s="209"/>
      <c r="CY10" s="209"/>
      <c r="CZ10" s="209"/>
      <c r="DA10" s="209"/>
      <c r="DB10" s="209"/>
      <c r="DC10" s="209"/>
      <c r="DD10" s="209"/>
      <c r="DE10" s="209"/>
      <c r="DF10" s="209"/>
      <c r="DG10" s="209"/>
      <c r="DH10" s="209"/>
      <c r="DI10" s="209"/>
      <c r="DJ10" s="209"/>
      <c r="DK10" s="209"/>
      <c r="DL10" s="209"/>
      <c r="DM10" s="209"/>
      <c r="DN10" s="209"/>
      <c r="DO10" s="209"/>
      <c r="DP10" s="209"/>
      <c r="DQ10" s="209"/>
      <c r="DR10" s="209"/>
      <c r="DS10" s="209"/>
      <c r="DT10" s="209"/>
      <c r="DU10" s="209"/>
      <c r="DV10" s="209"/>
      <c r="DW10" s="209"/>
      <c r="DX10" s="209"/>
      <c r="DY10" s="209"/>
      <c r="DZ10" s="209"/>
      <c r="EA10" s="209"/>
      <c r="EB10" s="209"/>
      <c r="EC10" s="209"/>
      <c r="ED10" s="209"/>
      <c r="EE10" s="209"/>
      <c r="EF10" s="209"/>
      <c r="EG10" s="209"/>
      <c r="EH10" s="209"/>
      <c r="EI10" s="209"/>
      <c r="EJ10" s="209"/>
      <c r="EK10" s="209"/>
      <c r="EL10" s="209"/>
      <c r="EM10" s="209"/>
      <c r="EN10" s="209"/>
      <c r="EO10" s="209"/>
      <c r="EP10" s="209"/>
      <c r="EQ10" s="209"/>
      <c r="ER10" s="209"/>
      <c r="ES10" s="209"/>
      <c r="ET10" s="209"/>
      <c r="EU10" s="209"/>
      <c r="EV10" s="209"/>
      <c r="EW10" s="209"/>
      <c r="EX10" s="209"/>
      <c r="EY10" s="209"/>
      <c r="EZ10" s="209"/>
      <c r="FA10" s="209"/>
      <c r="FB10" s="209"/>
      <c r="FC10" s="209"/>
      <c r="FD10" s="209"/>
      <c r="FE10" s="209"/>
      <c r="FF10" s="209"/>
      <c r="FG10" s="209"/>
      <c r="FH10" s="209"/>
      <c r="FI10" s="209"/>
      <c r="FJ10" s="209"/>
      <c r="FK10" s="209"/>
      <c r="FL10" s="209"/>
      <c r="FM10" s="209"/>
      <c r="FN10" s="209"/>
      <c r="FO10" s="209"/>
      <c r="FP10" s="209"/>
      <c r="FQ10" s="209"/>
      <c r="FR10" s="209"/>
      <c r="FS10" s="209"/>
      <c r="FT10" s="209"/>
      <c r="FU10" s="209"/>
      <c r="FV10" s="209"/>
      <c r="FW10" s="209"/>
      <c r="FX10" s="209"/>
      <c r="FY10" s="209"/>
      <c r="FZ10" s="209"/>
      <c r="GA10" s="209"/>
      <c r="GB10" s="209"/>
      <c r="GC10" s="209"/>
      <c r="GD10" s="209"/>
      <c r="GE10" s="209"/>
      <c r="GF10" s="209"/>
      <c r="GG10" s="209"/>
      <c r="GH10" s="209"/>
      <c r="GI10" s="209"/>
      <c r="GJ10" s="209"/>
      <c r="GK10" s="209"/>
      <c r="GL10" s="209"/>
      <c r="GM10" s="209"/>
      <c r="GN10" s="209"/>
      <c r="GO10" s="209"/>
      <c r="GP10" s="209"/>
      <c r="GQ10" s="209"/>
      <c r="GR10" s="209"/>
      <c r="GS10" s="209"/>
      <c r="GT10" s="209"/>
      <c r="GU10" s="209"/>
      <c r="GV10" s="209"/>
      <c r="GW10" s="209"/>
      <c r="GX10" s="209"/>
      <c r="GY10" s="209"/>
      <c r="GZ10" s="209"/>
      <c r="HA10" s="209"/>
      <c r="HB10" s="209"/>
      <c r="HC10" s="209"/>
      <c r="HD10" s="209"/>
      <c r="HE10" s="209"/>
      <c r="HF10" s="209"/>
      <c r="HG10" s="209"/>
      <c r="HH10" s="209"/>
      <c r="HI10" s="209"/>
      <c r="HJ10" s="209"/>
      <c r="HK10" s="209"/>
      <c r="HL10" s="209"/>
      <c r="HM10" s="209"/>
      <c r="HN10" s="209"/>
    </row>
    <row r="11" spans="1:222" ht="55.05" customHeight="1" thickBot="1" x14ac:dyDescent="0.35">
      <c r="A11" s="202"/>
      <c r="B11" s="224"/>
      <c r="C11" s="203" t="s">
        <v>179</v>
      </c>
      <c r="D11" s="203" t="s">
        <v>215</v>
      </c>
      <c r="E11" s="203" t="s">
        <v>215</v>
      </c>
      <c r="F11" s="203" t="s">
        <v>215</v>
      </c>
      <c r="G11" s="203" t="s">
        <v>215</v>
      </c>
      <c r="H11" s="203" t="s">
        <v>215</v>
      </c>
      <c r="I11" s="203" t="s">
        <v>215</v>
      </c>
      <c r="J11" s="203" t="s">
        <v>215</v>
      </c>
      <c r="K11" s="203" t="s">
        <v>215</v>
      </c>
      <c r="L11" s="203" t="s">
        <v>215</v>
      </c>
      <c r="M11" s="203" t="s">
        <v>215</v>
      </c>
      <c r="N11" s="203" t="s">
        <v>215</v>
      </c>
      <c r="O11" s="203" t="s">
        <v>215</v>
      </c>
      <c r="P11" s="203" t="s">
        <v>215</v>
      </c>
      <c r="Q11" s="203" t="s">
        <v>215</v>
      </c>
      <c r="R11" s="203" t="s">
        <v>215</v>
      </c>
      <c r="S11" s="203" t="s">
        <v>215</v>
      </c>
      <c r="T11" s="203" t="s">
        <v>215</v>
      </c>
      <c r="U11" s="203" t="s">
        <v>215</v>
      </c>
      <c r="V11" s="203" t="s">
        <v>215</v>
      </c>
      <c r="W11" s="203" t="s">
        <v>215</v>
      </c>
      <c r="X11" s="203" t="s">
        <v>215</v>
      </c>
      <c r="Y11" s="203" t="s">
        <v>215</v>
      </c>
      <c r="Z11" s="203" t="s">
        <v>215</v>
      </c>
      <c r="AA11" s="203" t="s">
        <v>215</v>
      </c>
      <c r="AB11" s="203" t="s">
        <v>215</v>
      </c>
      <c r="AC11" s="203" t="s">
        <v>215</v>
      </c>
      <c r="AD11" s="203" t="s">
        <v>215</v>
      </c>
      <c r="AE11" s="203" t="s">
        <v>215</v>
      </c>
      <c r="AF11" s="203" t="s">
        <v>215</v>
      </c>
      <c r="AG11" s="203" t="s">
        <v>215</v>
      </c>
      <c r="AH11" s="203" t="s">
        <v>215</v>
      </c>
      <c r="AI11" s="203" t="s">
        <v>215</v>
      </c>
      <c r="AJ11" s="203" t="s">
        <v>215</v>
      </c>
      <c r="AK11" s="203" t="s">
        <v>215</v>
      </c>
      <c r="AL11" s="203" t="s">
        <v>215</v>
      </c>
      <c r="AM11" s="203" t="s">
        <v>215</v>
      </c>
      <c r="AN11" s="203" t="s">
        <v>215</v>
      </c>
      <c r="AO11" s="203" t="s">
        <v>215</v>
      </c>
      <c r="AP11" s="203" t="s">
        <v>215</v>
      </c>
      <c r="AQ11" s="203" t="s">
        <v>215</v>
      </c>
      <c r="AR11" s="203" t="s">
        <v>215</v>
      </c>
      <c r="AS11" s="203" t="s">
        <v>215</v>
      </c>
      <c r="AT11" s="203" t="s">
        <v>215</v>
      </c>
      <c r="AU11" s="203" t="s">
        <v>215</v>
      </c>
      <c r="AV11" s="203" t="s">
        <v>215</v>
      </c>
      <c r="AW11" s="203" t="s">
        <v>215</v>
      </c>
      <c r="AX11" s="203" t="s">
        <v>215</v>
      </c>
      <c r="AY11" s="203" t="s">
        <v>215</v>
      </c>
      <c r="AZ11" s="203" t="s">
        <v>215</v>
      </c>
      <c r="BA11" s="203" t="s">
        <v>215</v>
      </c>
      <c r="BB11" s="203" t="s">
        <v>215</v>
      </c>
      <c r="BC11" s="203" t="s">
        <v>215</v>
      </c>
      <c r="BD11" s="203" t="s">
        <v>215</v>
      </c>
      <c r="BE11" s="203" t="s">
        <v>215</v>
      </c>
      <c r="BF11" s="203" t="s">
        <v>215</v>
      </c>
      <c r="BG11" s="203" t="s">
        <v>215</v>
      </c>
      <c r="BH11" s="203" t="s">
        <v>215</v>
      </c>
      <c r="BI11" s="203" t="s">
        <v>215</v>
      </c>
      <c r="BJ11" s="203" t="s">
        <v>215</v>
      </c>
      <c r="BK11" s="203" t="s">
        <v>215</v>
      </c>
      <c r="BL11" s="203" t="s">
        <v>215</v>
      </c>
      <c r="BM11" s="203" t="s">
        <v>215</v>
      </c>
      <c r="BN11" s="203" t="s">
        <v>215</v>
      </c>
      <c r="BO11" s="203" t="s">
        <v>215</v>
      </c>
      <c r="BP11" s="203" t="s">
        <v>215</v>
      </c>
      <c r="BQ11" s="203" t="s">
        <v>215</v>
      </c>
      <c r="BR11" s="203" t="s">
        <v>215</v>
      </c>
      <c r="BS11" s="203" t="s">
        <v>215</v>
      </c>
      <c r="BT11" s="203" t="s">
        <v>215</v>
      </c>
      <c r="BU11" s="203" t="s">
        <v>215</v>
      </c>
      <c r="BV11" s="203" t="s">
        <v>215</v>
      </c>
      <c r="BW11" s="203" t="s">
        <v>215</v>
      </c>
      <c r="BX11" s="203" t="s">
        <v>215</v>
      </c>
      <c r="BY11" s="203" t="s">
        <v>215</v>
      </c>
      <c r="BZ11" s="203" t="s">
        <v>215</v>
      </c>
      <c r="CA11" s="203" t="s">
        <v>215</v>
      </c>
      <c r="CB11" s="203" t="s">
        <v>215</v>
      </c>
      <c r="CC11" s="203" t="s">
        <v>215</v>
      </c>
      <c r="CD11" s="203" t="s">
        <v>215</v>
      </c>
      <c r="CE11" s="203" t="s">
        <v>215</v>
      </c>
      <c r="CF11" s="203" t="s">
        <v>215</v>
      </c>
      <c r="CG11" s="203" t="s">
        <v>215</v>
      </c>
      <c r="CH11" s="203" t="s">
        <v>215</v>
      </c>
      <c r="CI11" s="203" t="s">
        <v>215</v>
      </c>
      <c r="CJ11" s="203" t="s">
        <v>215</v>
      </c>
      <c r="CK11" s="203" t="s">
        <v>215</v>
      </c>
      <c r="CL11" s="203" t="s">
        <v>215</v>
      </c>
      <c r="CM11" s="203" t="s">
        <v>215</v>
      </c>
      <c r="CN11" s="203" t="s">
        <v>215</v>
      </c>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03"/>
      <c r="DW11" s="203"/>
      <c r="DX11" s="203"/>
      <c r="DY11" s="203"/>
      <c r="DZ11" s="203"/>
      <c r="EA11" s="203"/>
      <c r="EB11" s="203"/>
      <c r="EC11" s="203"/>
      <c r="ED11" s="203"/>
      <c r="EE11" s="203"/>
      <c r="EF11" s="203"/>
      <c r="EG11" s="203"/>
      <c r="EH11" s="203"/>
      <c r="EI11" s="203"/>
      <c r="EJ11" s="203"/>
      <c r="EK11" s="203"/>
      <c r="EL11" s="203"/>
      <c r="EM11" s="203"/>
      <c r="EN11" s="203"/>
      <c r="EO11" s="203"/>
      <c r="EP11" s="203"/>
      <c r="EQ11" s="203"/>
      <c r="ER11" s="203"/>
      <c r="ES11" s="203"/>
      <c r="ET11" s="203"/>
      <c r="EU11" s="203"/>
      <c r="EV11" s="203"/>
      <c r="EW11" s="203"/>
      <c r="EX11" s="203"/>
      <c r="EY11" s="203"/>
      <c r="EZ11" s="203"/>
      <c r="FA11" s="203"/>
      <c r="FB11" s="203"/>
      <c r="FC11" s="203"/>
      <c r="FD11" s="203"/>
      <c r="FE11" s="203"/>
      <c r="FF11" s="203"/>
      <c r="FG11" s="203"/>
      <c r="FH11" s="203"/>
      <c r="FI11" s="203"/>
      <c r="FJ11" s="203"/>
      <c r="FK11" s="203"/>
      <c r="FL11" s="203"/>
      <c r="FM11" s="203"/>
      <c r="FN11" s="203"/>
      <c r="FO11" s="203"/>
      <c r="FP11" s="203"/>
      <c r="FQ11" s="203"/>
      <c r="FR11" s="203"/>
      <c r="FS11" s="203"/>
      <c r="FT11" s="203"/>
      <c r="FU11" s="203"/>
      <c r="FV11" s="203"/>
      <c r="FW11" s="203"/>
      <c r="FX11" s="203"/>
      <c r="FY11" s="203"/>
      <c r="FZ11" s="203"/>
      <c r="GA11" s="203"/>
      <c r="GB11" s="203"/>
      <c r="GC11" s="203"/>
      <c r="GD11" s="203"/>
      <c r="GE11" s="203"/>
      <c r="GF11" s="203"/>
      <c r="GG11" s="203"/>
      <c r="GH11" s="203"/>
      <c r="GI11" s="203"/>
      <c r="GJ11" s="203"/>
      <c r="GK11" s="203"/>
      <c r="GL11" s="203"/>
      <c r="GM11" s="203"/>
      <c r="GN11" s="203"/>
      <c r="GO11" s="203"/>
      <c r="GP11" s="203"/>
      <c r="GQ11" s="203"/>
      <c r="GR11" s="203"/>
      <c r="GS11" s="203"/>
      <c r="GT11" s="203"/>
      <c r="GU11" s="203"/>
      <c r="GV11" s="203"/>
      <c r="GW11" s="203"/>
      <c r="GX11" s="203"/>
      <c r="GY11" s="203"/>
      <c r="GZ11" s="203"/>
      <c r="HA11" s="203"/>
      <c r="HB11" s="203"/>
      <c r="HC11" s="203"/>
      <c r="HD11" s="203"/>
      <c r="HE11" s="203"/>
      <c r="HF11" s="203"/>
      <c r="HG11" s="203"/>
      <c r="HH11" s="203"/>
      <c r="HI11" s="203"/>
      <c r="HJ11" s="203"/>
      <c r="HK11" s="203"/>
      <c r="HL11" s="203"/>
      <c r="HM11" s="203"/>
      <c r="HN11" s="203"/>
    </row>
    <row r="12" spans="1:222" s="196" customFormat="1" ht="15" customHeight="1" thickBot="1" x14ac:dyDescent="0.35">
      <c r="A12" s="202">
        <v>1.2</v>
      </c>
      <c r="B12" s="224" t="s">
        <v>10</v>
      </c>
      <c r="C12" s="209">
        <v>7</v>
      </c>
      <c r="D12" s="209"/>
      <c r="E12" s="209"/>
      <c r="F12" s="209"/>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c r="DL12" s="209"/>
      <c r="DM12" s="209"/>
      <c r="DN12" s="209"/>
      <c r="DO12" s="209"/>
      <c r="DP12" s="209"/>
      <c r="DQ12" s="209"/>
      <c r="DR12" s="209"/>
      <c r="DS12" s="209"/>
      <c r="DT12" s="209"/>
      <c r="DU12" s="209"/>
      <c r="DV12" s="209"/>
      <c r="DW12" s="209"/>
      <c r="DX12" s="209"/>
      <c r="DY12" s="209"/>
      <c r="DZ12" s="209"/>
      <c r="EA12" s="209"/>
      <c r="EB12" s="209"/>
      <c r="EC12" s="209"/>
      <c r="ED12" s="209"/>
      <c r="EE12" s="209"/>
      <c r="EF12" s="209"/>
      <c r="EG12" s="209"/>
      <c r="EH12" s="209"/>
      <c r="EI12" s="209"/>
      <c r="EJ12" s="209"/>
      <c r="EK12" s="209"/>
      <c r="EL12" s="209"/>
      <c r="EM12" s="209"/>
      <c r="EN12" s="209"/>
      <c r="EO12" s="209"/>
      <c r="EP12" s="209"/>
      <c r="EQ12" s="209"/>
      <c r="ER12" s="209"/>
      <c r="ES12" s="209"/>
      <c r="ET12" s="209"/>
      <c r="EU12" s="209"/>
      <c r="EV12" s="209"/>
      <c r="EW12" s="209"/>
      <c r="EX12" s="209"/>
      <c r="EY12" s="209"/>
      <c r="EZ12" s="209"/>
      <c r="FA12" s="209"/>
      <c r="FB12" s="209"/>
      <c r="FC12" s="209"/>
      <c r="FD12" s="209"/>
      <c r="FE12" s="209"/>
      <c r="FF12" s="209"/>
      <c r="FG12" s="209"/>
      <c r="FH12" s="209"/>
      <c r="FI12" s="209"/>
      <c r="FJ12" s="209"/>
      <c r="FK12" s="209"/>
      <c r="FL12" s="209"/>
      <c r="FM12" s="209"/>
      <c r="FN12" s="209"/>
      <c r="FO12" s="209"/>
      <c r="FP12" s="209"/>
      <c r="FQ12" s="209"/>
      <c r="FR12" s="209"/>
      <c r="FS12" s="209"/>
      <c r="FT12" s="209"/>
      <c r="FU12" s="209"/>
      <c r="FV12" s="209"/>
      <c r="FW12" s="209"/>
      <c r="FX12" s="209"/>
      <c r="FY12" s="209"/>
      <c r="FZ12" s="209"/>
      <c r="GA12" s="209"/>
      <c r="GB12" s="209"/>
      <c r="GC12" s="209"/>
      <c r="GD12" s="209"/>
      <c r="GE12" s="209"/>
      <c r="GF12" s="209"/>
      <c r="GG12" s="209"/>
      <c r="GH12" s="209"/>
      <c r="GI12" s="209"/>
      <c r="GJ12" s="209"/>
      <c r="GK12" s="209"/>
      <c r="GL12" s="209"/>
      <c r="GM12" s="209"/>
      <c r="GN12" s="209"/>
      <c r="GO12" s="209"/>
      <c r="GP12" s="209"/>
      <c r="GQ12" s="209"/>
      <c r="GR12" s="209"/>
      <c r="GS12" s="209"/>
      <c r="GT12" s="209"/>
      <c r="GU12" s="209"/>
      <c r="GV12" s="209"/>
      <c r="GW12" s="209"/>
      <c r="GX12" s="209"/>
      <c r="GY12" s="209"/>
      <c r="GZ12" s="209"/>
      <c r="HA12" s="209"/>
      <c r="HB12" s="209"/>
      <c r="HC12" s="209"/>
      <c r="HD12" s="209"/>
      <c r="HE12" s="209"/>
      <c r="HF12" s="209"/>
      <c r="HG12" s="209"/>
      <c r="HH12" s="209"/>
      <c r="HI12" s="209"/>
      <c r="HJ12" s="209"/>
      <c r="HK12" s="209"/>
      <c r="HL12" s="209"/>
      <c r="HM12" s="209"/>
      <c r="HN12" s="209"/>
    </row>
    <row r="13" spans="1:222" ht="55.05" customHeight="1" thickBot="1" x14ac:dyDescent="0.35">
      <c r="A13" s="202"/>
      <c r="B13" s="224"/>
      <c r="C13" s="203" t="s">
        <v>188</v>
      </c>
      <c r="D13" s="203" t="s">
        <v>215</v>
      </c>
      <c r="E13" s="203" t="s">
        <v>215</v>
      </c>
      <c r="F13" s="203" t="s">
        <v>215</v>
      </c>
      <c r="G13" s="203" t="s">
        <v>215</v>
      </c>
      <c r="H13" s="203" t="s">
        <v>215</v>
      </c>
      <c r="I13" s="203" t="s">
        <v>215</v>
      </c>
      <c r="J13" s="203" t="s">
        <v>215</v>
      </c>
      <c r="K13" s="203" t="s">
        <v>215</v>
      </c>
      <c r="L13" s="203" t="s">
        <v>215</v>
      </c>
      <c r="M13" s="203" t="s">
        <v>215</v>
      </c>
      <c r="N13" s="203" t="s">
        <v>215</v>
      </c>
      <c r="O13" s="203" t="s">
        <v>215</v>
      </c>
      <c r="P13" s="203" t="s">
        <v>215</v>
      </c>
      <c r="Q13" s="203" t="s">
        <v>215</v>
      </c>
      <c r="R13" s="203" t="s">
        <v>215</v>
      </c>
      <c r="S13" s="203" t="s">
        <v>215</v>
      </c>
      <c r="T13" s="203" t="s">
        <v>215</v>
      </c>
      <c r="U13" s="203" t="s">
        <v>215</v>
      </c>
      <c r="V13" s="203" t="s">
        <v>215</v>
      </c>
      <c r="W13" s="203" t="s">
        <v>215</v>
      </c>
      <c r="X13" s="203" t="s">
        <v>215</v>
      </c>
      <c r="Y13" s="203" t="s">
        <v>215</v>
      </c>
      <c r="Z13" s="203" t="s">
        <v>215</v>
      </c>
      <c r="AA13" s="203" t="s">
        <v>215</v>
      </c>
      <c r="AB13" s="203" t="s">
        <v>215</v>
      </c>
      <c r="AC13" s="203" t="s">
        <v>215</v>
      </c>
      <c r="AD13" s="203" t="s">
        <v>215</v>
      </c>
      <c r="AE13" s="203" t="s">
        <v>215</v>
      </c>
      <c r="AF13" s="203" t="s">
        <v>215</v>
      </c>
      <c r="AG13" s="203" t="s">
        <v>215</v>
      </c>
      <c r="AH13" s="203" t="s">
        <v>215</v>
      </c>
      <c r="AI13" s="203" t="s">
        <v>215</v>
      </c>
      <c r="AJ13" s="203" t="s">
        <v>215</v>
      </c>
      <c r="AK13" s="203" t="s">
        <v>215</v>
      </c>
      <c r="AL13" s="203" t="s">
        <v>215</v>
      </c>
      <c r="AM13" s="203" t="s">
        <v>215</v>
      </c>
      <c r="AN13" s="203" t="s">
        <v>215</v>
      </c>
      <c r="AO13" s="203" t="s">
        <v>215</v>
      </c>
      <c r="AP13" s="203" t="s">
        <v>215</v>
      </c>
      <c r="AQ13" s="203" t="s">
        <v>215</v>
      </c>
      <c r="AR13" s="203" t="s">
        <v>215</v>
      </c>
      <c r="AS13" s="203" t="s">
        <v>215</v>
      </c>
      <c r="AT13" s="203" t="s">
        <v>215</v>
      </c>
      <c r="AU13" s="203" t="s">
        <v>215</v>
      </c>
      <c r="AV13" s="203" t="s">
        <v>215</v>
      </c>
      <c r="AW13" s="203" t="s">
        <v>215</v>
      </c>
      <c r="AX13" s="203" t="s">
        <v>215</v>
      </c>
      <c r="AY13" s="203" t="s">
        <v>215</v>
      </c>
      <c r="AZ13" s="203" t="s">
        <v>215</v>
      </c>
      <c r="BA13" s="203" t="s">
        <v>215</v>
      </c>
      <c r="BB13" s="203" t="s">
        <v>215</v>
      </c>
      <c r="BC13" s="203" t="s">
        <v>215</v>
      </c>
      <c r="BD13" s="203" t="s">
        <v>215</v>
      </c>
      <c r="BE13" s="203" t="s">
        <v>215</v>
      </c>
      <c r="BF13" s="203" t="s">
        <v>215</v>
      </c>
      <c r="BG13" s="203" t="s">
        <v>215</v>
      </c>
      <c r="BH13" s="203" t="s">
        <v>215</v>
      </c>
      <c r="BI13" s="203" t="s">
        <v>215</v>
      </c>
      <c r="BJ13" s="203" t="s">
        <v>215</v>
      </c>
      <c r="BK13" s="203" t="s">
        <v>215</v>
      </c>
      <c r="BL13" s="203" t="s">
        <v>215</v>
      </c>
      <c r="BM13" s="203" t="s">
        <v>215</v>
      </c>
      <c r="BN13" s="203" t="s">
        <v>215</v>
      </c>
      <c r="BO13" s="203" t="s">
        <v>215</v>
      </c>
      <c r="BP13" s="203" t="s">
        <v>215</v>
      </c>
      <c r="BQ13" s="203" t="s">
        <v>215</v>
      </c>
      <c r="BR13" s="203" t="s">
        <v>215</v>
      </c>
      <c r="BS13" s="203" t="s">
        <v>215</v>
      </c>
      <c r="BT13" s="203" t="s">
        <v>215</v>
      </c>
      <c r="BU13" s="203" t="s">
        <v>215</v>
      </c>
      <c r="BV13" s="203" t="s">
        <v>215</v>
      </c>
      <c r="BW13" s="203" t="s">
        <v>215</v>
      </c>
      <c r="BX13" s="203" t="s">
        <v>215</v>
      </c>
      <c r="BY13" s="203" t="s">
        <v>215</v>
      </c>
      <c r="BZ13" s="203" t="s">
        <v>215</v>
      </c>
      <c r="CA13" s="203" t="s">
        <v>215</v>
      </c>
      <c r="CB13" s="203" t="s">
        <v>215</v>
      </c>
      <c r="CC13" s="203" t="s">
        <v>215</v>
      </c>
      <c r="CD13" s="203" t="s">
        <v>215</v>
      </c>
      <c r="CE13" s="203" t="s">
        <v>215</v>
      </c>
      <c r="CF13" s="203" t="s">
        <v>215</v>
      </c>
      <c r="CG13" s="203" t="s">
        <v>215</v>
      </c>
      <c r="CH13" s="203" t="s">
        <v>215</v>
      </c>
      <c r="CI13" s="203" t="s">
        <v>215</v>
      </c>
      <c r="CJ13" s="203" t="s">
        <v>215</v>
      </c>
      <c r="CK13" s="203" t="s">
        <v>215</v>
      </c>
      <c r="CL13" s="203" t="s">
        <v>215</v>
      </c>
      <c r="CM13" s="203" t="s">
        <v>215</v>
      </c>
      <c r="CN13" s="203" t="s">
        <v>215</v>
      </c>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3"/>
      <c r="DV13" s="203"/>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3"/>
      <c r="GD13" s="203"/>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row>
    <row r="14" spans="1:222" s="196" customFormat="1" ht="15" customHeight="1" thickBot="1" x14ac:dyDescent="0.35">
      <c r="A14" s="202">
        <v>1.3</v>
      </c>
      <c r="B14" s="224" t="s">
        <v>11</v>
      </c>
      <c r="C14" s="209">
        <v>8</v>
      </c>
      <c r="D14" s="209"/>
      <c r="E14" s="209"/>
      <c r="F14" s="209"/>
      <c r="G14" s="209"/>
      <c r="H14" s="209"/>
      <c r="I14" s="209"/>
      <c r="J14" s="209"/>
      <c r="K14" s="209"/>
      <c r="L14" s="209"/>
      <c r="M14" s="209"/>
      <c r="N14" s="209"/>
      <c r="O14" s="209"/>
      <c r="P14" s="209"/>
      <c r="Q14" s="209"/>
      <c r="R14" s="209"/>
      <c r="S14" s="209"/>
      <c r="T14" s="209"/>
      <c r="U14" s="209"/>
      <c r="V14" s="209"/>
      <c r="W14" s="209"/>
      <c r="X14" s="209"/>
      <c r="Y14" s="209"/>
      <c r="Z14" s="209"/>
      <c r="AA14" s="209"/>
      <c r="AB14" s="209"/>
      <c r="AC14" s="209"/>
      <c r="AD14" s="209"/>
      <c r="AE14" s="209"/>
      <c r="AF14" s="209"/>
      <c r="AG14" s="209"/>
      <c r="AH14" s="209"/>
      <c r="AI14" s="209"/>
      <c r="AJ14" s="209"/>
      <c r="AK14" s="209"/>
      <c r="AL14" s="209"/>
      <c r="AM14" s="209"/>
      <c r="AN14" s="209"/>
      <c r="AO14" s="209"/>
      <c r="AP14" s="209"/>
      <c r="AQ14" s="209"/>
      <c r="AR14" s="209"/>
      <c r="AS14" s="209"/>
      <c r="AT14" s="209"/>
      <c r="AU14" s="209"/>
      <c r="AV14" s="209"/>
      <c r="AW14" s="209"/>
      <c r="AX14" s="209"/>
      <c r="AY14" s="209"/>
      <c r="AZ14" s="209"/>
      <c r="BA14" s="209"/>
      <c r="BB14" s="209"/>
      <c r="BC14" s="209"/>
      <c r="BD14" s="209"/>
      <c r="BE14" s="209"/>
      <c r="BF14" s="209"/>
      <c r="BG14" s="209"/>
      <c r="BH14" s="209"/>
      <c r="BI14" s="209"/>
      <c r="BJ14" s="209"/>
      <c r="BK14" s="209"/>
      <c r="BL14" s="209"/>
      <c r="BM14" s="209"/>
      <c r="BN14" s="209"/>
      <c r="BO14" s="209"/>
      <c r="BP14" s="209"/>
      <c r="BQ14" s="209"/>
      <c r="BR14" s="209"/>
      <c r="BS14" s="209"/>
      <c r="BT14" s="209"/>
      <c r="BU14" s="209"/>
      <c r="BV14" s="209"/>
      <c r="BW14" s="209"/>
      <c r="BX14" s="209"/>
      <c r="BY14" s="209"/>
      <c r="BZ14" s="209"/>
      <c r="CA14" s="209"/>
      <c r="CB14" s="209"/>
      <c r="CC14" s="209"/>
      <c r="CD14" s="209"/>
      <c r="CE14" s="209"/>
      <c r="CF14" s="209"/>
      <c r="CG14" s="209"/>
      <c r="CH14" s="209"/>
      <c r="CI14" s="209"/>
      <c r="CJ14" s="209"/>
      <c r="CK14" s="209"/>
      <c r="CL14" s="209"/>
      <c r="CM14" s="209"/>
      <c r="CN14" s="209"/>
      <c r="CO14" s="209"/>
      <c r="CP14" s="209"/>
      <c r="CQ14" s="209"/>
      <c r="CR14" s="209"/>
      <c r="CS14" s="209"/>
      <c r="CT14" s="209"/>
      <c r="CU14" s="209"/>
      <c r="CV14" s="209"/>
      <c r="CW14" s="209"/>
      <c r="CX14" s="209"/>
      <c r="CY14" s="209"/>
      <c r="CZ14" s="209"/>
      <c r="DA14" s="209"/>
      <c r="DB14" s="209"/>
      <c r="DC14" s="209"/>
      <c r="DD14" s="209"/>
      <c r="DE14" s="209"/>
      <c r="DF14" s="209"/>
      <c r="DG14" s="209"/>
      <c r="DH14" s="209"/>
      <c r="DI14" s="209"/>
      <c r="DJ14" s="209"/>
      <c r="DK14" s="209"/>
      <c r="DL14" s="209"/>
      <c r="DM14" s="209"/>
      <c r="DN14" s="209"/>
      <c r="DO14" s="209"/>
      <c r="DP14" s="209"/>
      <c r="DQ14" s="209"/>
      <c r="DR14" s="209"/>
      <c r="DS14" s="209"/>
      <c r="DT14" s="209"/>
      <c r="DU14" s="209"/>
      <c r="DV14" s="209"/>
      <c r="DW14" s="209"/>
      <c r="DX14" s="209"/>
      <c r="DY14" s="209"/>
      <c r="DZ14" s="209"/>
      <c r="EA14" s="209"/>
      <c r="EB14" s="209"/>
      <c r="EC14" s="209"/>
      <c r="ED14" s="209"/>
      <c r="EE14" s="209"/>
      <c r="EF14" s="209"/>
      <c r="EG14" s="209"/>
      <c r="EH14" s="209"/>
      <c r="EI14" s="209"/>
      <c r="EJ14" s="209"/>
      <c r="EK14" s="209"/>
      <c r="EL14" s="209"/>
      <c r="EM14" s="209"/>
      <c r="EN14" s="209"/>
      <c r="EO14" s="209"/>
      <c r="EP14" s="209"/>
      <c r="EQ14" s="209"/>
      <c r="ER14" s="209"/>
      <c r="ES14" s="209"/>
      <c r="ET14" s="209"/>
      <c r="EU14" s="209"/>
      <c r="EV14" s="209"/>
      <c r="EW14" s="209"/>
      <c r="EX14" s="209"/>
      <c r="EY14" s="209"/>
      <c r="EZ14" s="209"/>
      <c r="FA14" s="209"/>
      <c r="FB14" s="209"/>
      <c r="FC14" s="209"/>
      <c r="FD14" s="209"/>
      <c r="FE14" s="209"/>
      <c r="FF14" s="209"/>
      <c r="FG14" s="209"/>
      <c r="FH14" s="209"/>
      <c r="FI14" s="209"/>
      <c r="FJ14" s="209"/>
      <c r="FK14" s="209"/>
      <c r="FL14" s="209"/>
      <c r="FM14" s="209"/>
      <c r="FN14" s="209"/>
      <c r="FO14" s="209"/>
      <c r="FP14" s="209"/>
      <c r="FQ14" s="209"/>
      <c r="FR14" s="209"/>
      <c r="FS14" s="209"/>
      <c r="FT14" s="209"/>
      <c r="FU14" s="209"/>
      <c r="FV14" s="209"/>
      <c r="FW14" s="209"/>
      <c r="FX14" s="209"/>
      <c r="FY14" s="209"/>
      <c r="FZ14" s="209"/>
      <c r="GA14" s="209"/>
      <c r="GB14" s="209"/>
      <c r="GC14" s="209"/>
      <c r="GD14" s="209"/>
      <c r="GE14" s="209"/>
      <c r="GF14" s="209"/>
      <c r="GG14" s="209"/>
      <c r="GH14" s="209"/>
      <c r="GI14" s="209"/>
      <c r="GJ14" s="209"/>
      <c r="GK14" s="209"/>
      <c r="GL14" s="209"/>
      <c r="GM14" s="209"/>
      <c r="GN14" s="209"/>
      <c r="GO14" s="209"/>
      <c r="GP14" s="209"/>
      <c r="GQ14" s="209"/>
      <c r="GR14" s="209"/>
      <c r="GS14" s="209"/>
      <c r="GT14" s="209"/>
      <c r="GU14" s="209"/>
      <c r="GV14" s="209"/>
      <c r="GW14" s="209"/>
      <c r="GX14" s="209"/>
      <c r="GY14" s="209"/>
      <c r="GZ14" s="209"/>
      <c r="HA14" s="209"/>
      <c r="HB14" s="209"/>
      <c r="HC14" s="209"/>
      <c r="HD14" s="209"/>
      <c r="HE14" s="209"/>
      <c r="HF14" s="209"/>
      <c r="HG14" s="209"/>
      <c r="HH14" s="209"/>
      <c r="HI14" s="209"/>
      <c r="HJ14" s="209"/>
      <c r="HK14" s="209"/>
      <c r="HL14" s="209"/>
      <c r="HM14" s="209"/>
      <c r="HN14" s="209"/>
    </row>
    <row r="15" spans="1:222" ht="55.05" customHeight="1" thickBot="1" x14ac:dyDescent="0.35">
      <c r="A15" s="202"/>
      <c r="B15" s="224"/>
      <c r="C15" s="203" t="s">
        <v>194</v>
      </c>
      <c r="D15" s="203" t="s">
        <v>215</v>
      </c>
      <c r="E15" s="203" t="s">
        <v>215</v>
      </c>
      <c r="F15" s="203" t="s">
        <v>215</v>
      </c>
      <c r="G15" s="203" t="s">
        <v>215</v>
      </c>
      <c r="H15" s="203" t="s">
        <v>215</v>
      </c>
      <c r="I15" s="203" t="s">
        <v>215</v>
      </c>
      <c r="J15" s="203" t="s">
        <v>215</v>
      </c>
      <c r="K15" s="203" t="s">
        <v>215</v>
      </c>
      <c r="L15" s="203" t="s">
        <v>215</v>
      </c>
      <c r="M15" s="203" t="s">
        <v>215</v>
      </c>
      <c r="N15" s="203" t="s">
        <v>215</v>
      </c>
      <c r="O15" s="203" t="s">
        <v>215</v>
      </c>
      <c r="P15" s="203" t="s">
        <v>215</v>
      </c>
      <c r="Q15" s="203" t="s">
        <v>215</v>
      </c>
      <c r="R15" s="203" t="s">
        <v>215</v>
      </c>
      <c r="S15" s="203" t="s">
        <v>215</v>
      </c>
      <c r="T15" s="203" t="s">
        <v>215</v>
      </c>
      <c r="U15" s="203" t="s">
        <v>215</v>
      </c>
      <c r="V15" s="203" t="s">
        <v>215</v>
      </c>
      <c r="W15" s="203" t="s">
        <v>215</v>
      </c>
      <c r="X15" s="203" t="s">
        <v>215</v>
      </c>
      <c r="Y15" s="203" t="s">
        <v>215</v>
      </c>
      <c r="Z15" s="203" t="s">
        <v>215</v>
      </c>
      <c r="AA15" s="203" t="s">
        <v>215</v>
      </c>
      <c r="AB15" s="203" t="s">
        <v>215</v>
      </c>
      <c r="AC15" s="203" t="s">
        <v>215</v>
      </c>
      <c r="AD15" s="203" t="s">
        <v>215</v>
      </c>
      <c r="AE15" s="203" t="s">
        <v>215</v>
      </c>
      <c r="AF15" s="203" t="s">
        <v>215</v>
      </c>
      <c r="AG15" s="203" t="s">
        <v>215</v>
      </c>
      <c r="AH15" s="203" t="s">
        <v>215</v>
      </c>
      <c r="AI15" s="203" t="s">
        <v>215</v>
      </c>
      <c r="AJ15" s="203" t="s">
        <v>215</v>
      </c>
      <c r="AK15" s="203" t="s">
        <v>215</v>
      </c>
      <c r="AL15" s="203" t="s">
        <v>215</v>
      </c>
      <c r="AM15" s="203" t="s">
        <v>215</v>
      </c>
      <c r="AN15" s="203" t="s">
        <v>215</v>
      </c>
      <c r="AO15" s="203" t="s">
        <v>215</v>
      </c>
      <c r="AP15" s="203" t="s">
        <v>215</v>
      </c>
      <c r="AQ15" s="203" t="s">
        <v>215</v>
      </c>
      <c r="AR15" s="203" t="s">
        <v>215</v>
      </c>
      <c r="AS15" s="203" t="s">
        <v>215</v>
      </c>
      <c r="AT15" s="203" t="s">
        <v>215</v>
      </c>
      <c r="AU15" s="203" t="s">
        <v>215</v>
      </c>
      <c r="AV15" s="203" t="s">
        <v>215</v>
      </c>
      <c r="AW15" s="203" t="s">
        <v>215</v>
      </c>
      <c r="AX15" s="203" t="s">
        <v>215</v>
      </c>
      <c r="AY15" s="203" t="s">
        <v>215</v>
      </c>
      <c r="AZ15" s="203" t="s">
        <v>215</v>
      </c>
      <c r="BA15" s="203" t="s">
        <v>215</v>
      </c>
      <c r="BB15" s="203" t="s">
        <v>215</v>
      </c>
      <c r="BC15" s="203" t="s">
        <v>215</v>
      </c>
      <c r="BD15" s="203" t="s">
        <v>215</v>
      </c>
      <c r="BE15" s="203" t="s">
        <v>215</v>
      </c>
      <c r="BF15" s="203" t="s">
        <v>215</v>
      </c>
      <c r="BG15" s="203" t="s">
        <v>215</v>
      </c>
      <c r="BH15" s="203" t="s">
        <v>215</v>
      </c>
      <c r="BI15" s="203" t="s">
        <v>215</v>
      </c>
      <c r="BJ15" s="203" t="s">
        <v>215</v>
      </c>
      <c r="BK15" s="203" t="s">
        <v>215</v>
      </c>
      <c r="BL15" s="203" t="s">
        <v>215</v>
      </c>
      <c r="BM15" s="203" t="s">
        <v>215</v>
      </c>
      <c r="BN15" s="203" t="s">
        <v>215</v>
      </c>
      <c r="BO15" s="203" t="s">
        <v>215</v>
      </c>
      <c r="BP15" s="203" t="s">
        <v>215</v>
      </c>
      <c r="BQ15" s="203" t="s">
        <v>215</v>
      </c>
      <c r="BR15" s="203" t="s">
        <v>215</v>
      </c>
      <c r="BS15" s="203" t="s">
        <v>215</v>
      </c>
      <c r="BT15" s="203" t="s">
        <v>215</v>
      </c>
      <c r="BU15" s="203" t="s">
        <v>215</v>
      </c>
      <c r="BV15" s="203" t="s">
        <v>215</v>
      </c>
      <c r="BW15" s="203" t="s">
        <v>215</v>
      </c>
      <c r="BX15" s="203" t="s">
        <v>215</v>
      </c>
      <c r="BY15" s="203" t="s">
        <v>215</v>
      </c>
      <c r="BZ15" s="203" t="s">
        <v>215</v>
      </c>
      <c r="CA15" s="203" t="s">
        <v>215</v>
      </c>
      <c r="CB15" s="203" t="s">
        <v>215</v>
      </c>
      <c r="CC15" s="203" t="s">
        <v>215</v>
      </c>
      <c r="CD15" s="203" t="s">
        <v>215</v>
      </c>
      <c r="CE15" s="203" t="s">
        <v>215</v>
      </c>
      <c r="CF15" s="203" t="s">
        <v>215</v>
      </c>
      <c r="CG15" s="203" t="s">
        <v>215</v>
      </c>
      <c r="CH15" s="203" t="s">
        <v>215</v>
      </c>
      <c r="CI15" s="203" t="s">
        <v>215</v>
      </c>
      <c r="CJ15" s="203" t="s">
        <v>215</v>
      </c>
      <c r="CK15" s="203" t="s">
        <v>215</v>
      </c>
      <c r="CL15" s="203" t="s">
        <v>215</v>
      </c>
      <c r="CM15" s="203" t="s">
        <v>215</v>
      </c>
      <c r="CN15" s="203" t="s">
        <v>215</v>
      </c>
      <c r="CO15" s="203"/>
      <c r="CP15" s="203"/>
      <c r="CQ15" s="203"/>
      <c r="CR15" s="203"/>
      <c r="CS15" s="203"/>
      <c r="CT15" s="203"/>
      <c r="CU15" s="203"/>
      <c r="CV15" s="203"/>
      <c r="CW15" s="203"/>
      <c r="CX15" s="203"/>
      <c r="CY15" s="203"/>
      <c r="CZ15" s="203"/>
      <c r="DA15" s="203"/>
      <c r="DB15" s="203"/>
      <c r="DC15" s="203"/>
      <c r="DD15" s="203"/>
      <c r="DE15" s="203"/>
      <c r="DF15" s="203"/>
      <c r="DG15" s="203"/>
      <c r="DH15" s="203"/>
      <c r="DI15" s="203"/>
      <c r="DJ15" s="203"/>
      <c r="DK15" s="203"/>
      <c r="DL15" s="203"/>
      <c r="DM15" s="203"/>
      <c r="DN15" s="203"/>
      <c r="DO15" s="203"/>
      <c r="DP15" s="203"/>
      <c r="DQ15" s="203"/>
      <c r="DR15" s="203"/>
      <c r="DS15" s="203"/>
      <c r="DT15" s="203"/>
      <c r="DU15" s="203"/>
      <c r="DV15" s="203"/>
      <c r="DW15" s="203"/>
      <c r="DX15" s="203"/>
      <c r="DY15" s="203"/>
      <c r="DZ15" s="203"/>
      <c r="EA15" s="203"/>
      <c r="EB15" s="203"/>
      <c r="EC15" s="203"/>
      <c r="ED15" s="203"/>
      <c r="EE15" s="203"/>
      <c r="EF15" s="203"/>
      <c r="EG15" s="203"/>
      <c r="EH15" s="203"/>
      <c r="EI15" s="203"/>
      <c r="EJ15" s="203"/>
      <c r="EK15" s="203"/>
      <c r="EL15" s="203"/>
      <c r="EM15" s="203"/>
      <c r="EN15" s="203"/>
      <c r="EO15" s="203"/>
      <c r="EP15" s="203"/>
      <c r="EQ15" s="203"/>
      <c r="ER15" s="203"/>
      <c r="ES15" s="203"/>
      <c r="ET15" s="203"/>
      <c r="EU15" s="203"/>
      <c r="EV15" s="203"/>
      <c r="EW15" s="203"/>
      <c r="EX15" s="203"/>
      <c r="EY15" s="203"/>
      <c r="EZ15" s="203"/>
      <c r="FA15" s="203"/>
      <c r="FB15" s="203"/>
      <c r="FC15" s="203"/>
      <c r="FD15" s="203"/>
      <c r="FE15" s="203"/>
      <c r="FF15" s="203"/>
      <c r="FG15" s="203"/>
      <c r="FH15" s="203"/>
      <c r="FI15" s="203"/>
      <c r="FJ15" s="203"/>
      <c r="FK15" s="203"/>
      <c r="FL15" s="203"/>
      <c r="FM15" s="203"/>
      <c r="FN15" s="203"/>
      <c r="FO15" s="203"/>
      <c r="FP15" s="203"/>
      <c r="FQ15" s="203"/>
      <c r="FR15" s="203"/>
      <c r="FS15" s="203"/>
      <c r="FT15" s="203"/>
      <c r="FU15" s="203"/>
      <c r="FV15" s="203"/>
      <c r="FW15" s="203"/>
      <c r="FX15" s="203"/>
      <c r="FY15" s="203"/>
      <c r="FZ15" s="203"/>
      <c r="GA15" s="203"/>
      <c r="GB15" s="203"/>
      <c r="GC15" s="203"/>
      <c r="GD15" s="203"/>
      <c r="GE15" s="203"/>
      <c r="GF15" s="203"/>
      <c r="GG15" s="203"/>
      <c r="GH15" s="203"/>
      <c r="GI15" s="203"/>
      <c r="GJ15" s="203"/>
      <c r="GK15" s="203"/>
      <c r="GL15" s="203"/>
      <c r="GM15" s="203"/>
      <c r="GN15" s="203"/>
      <c r="GO15" s="203"/>
      <c r="GP15" s="203"/>
      <c r="GQ15" s="203"/>
      <c r="GR15" s="203"/>
      <c r="GS15" s="203"/>
      <c r="GT15" s="203"/>
      <c r="GU15" s="203"/>
      <c r="GV15" s="203"/>
      <c r="GW15" s="203"/>
      <c r="GX15" s="203"/>
      <c r="GY15" s="203"/>
      <c r="GZ15" s="203"/>
      <c r="HA15" s="203"/>
      <c r="HB15" s="203"/>
      <c r="HC15" s="203"/>
      <c r="HD15" s="203"/>
      <c r="HE15" s="203"/>
      <c r="HF15" s="203"/>
      <c r="HG15" s="203"/>
      <c r="HH15" s="203"/>
      <c r="HI15" s="203"/>
      <c r="HJ15" s="203"/>
      <c r="HK15" s="203"/>
      <c r="HL15" s="203"/>
      <c r="HM15" s="203"/>
      <c r="HN15" s="203"/>
    </row>
    <row r="16" spans="1:222" s="196" customFormat="1" ht="15" customHeight="1" thickBot="1" x14ac:dyDescent="0.35">
      <c r="A16" s="202">
        <v>1.4</v>
      </c>
      <c r="B16" s="224" t="s">
        <v>12</v>
      </c>
      <c r="C16" s="209">
        <v>9</v>
      </c>
      <c r="D16" s="209"/>
      <c r="E16" s="209"/>
      <c r="F16" s="209"/>
      <c r="G16" s="209"/>
      <c r="H16" s="209"/>
      <c r="I16" s="209"/>
      <c r="J16" s="209"/>
      <c r="K16" s="209"/>
      <c r="L16" s="209"/>
      <c r="M16" s="209"/>
      <c r="N16" s="209"/>
      <c r="O16" s="209"/>
      <c r="P16" s="209"/>
      <c r="Q16" s="209"/>
      <c r="R16" s="209"/>
      <c r="S16" s="209"/>
      <c r="T16" s="209"/>
      <c r="U16" s="209"/>
      <c r="V16" s="209"/>
      <c r="W16" s="209"/>
      <c r="X16" s="209"/>
      <c r="Y16" s="209"/>
      <c r="Z16" s="209"/>
      <c r="AA16" s="209"/>
      <c r="AB16" s="209"/>
      <c r="AC16" s="209"/>
      <c r="AD16" s="209"/>
      <c r="AE16" s="209"/>
      <c r="AF16" s="209"/>
      <c r="AG16" s="209"/>
      <c r="AH16" s="209"/>
      <c r="AI16" s="209"/>
      <c r="AJ16" s="209"/>
      <c r="AK16" s="209"/>
      <c r="AL16" s="209"/>
      <c r="AM16" s="209"/>
      <c r="AN16" s="209"/>
      <c r="AO16" s="209"/>
      <c r="AP16" s="209"/>
      <c r="AQ16" s="209"/>
      <c r="AR16" s="209"/>
      <c r="AS16" s="209"/>
      <c r="AT16" s="209"/>
      <c r="AU16" s="209"/>
      <c r="AV16" s="209"/>
      <c r="AW16" s="209"/>
      <c r="AX16" s="209"/>
      <c r="AY16" s="209"/>
      <c r="AZ16" s="209"/>
      <c r="BA16" s="209"/>
      <c r="BB16" s="209"/>
      <c r="BC16" s="209"/>
      <c r="BD16" s="209"/>
      <c r="BE16" s="209"/>
      <c r="BF16" s="209"/>
      <c r="BG16" s="209"/>
      <c r="BH16" s="209"/>
      <c r="BI16" s="209"/>
      <c r="BJ16" s="209"/>
      <c r="BK16" s="209"/>
      <c r="BL16" s="209"/>
      <c r="BM16" s="209"/>
      <c r="BN16" s="209"/>
      <c r="BO16" s="209"/>
      <c r="BP16" s="209"/>
      <c r="BQ16" s="209"/>
      <c r="BR16" s="209"/>
      <c r="BS16" s="209"/>
      <c r="BT16" s="209"/>
      <c r="BU16" s="209"/>
      <c r="BV16" s="209"/>
      <c r="BW16" s="209"/>
      <c r="BX16" s="209"/>
      <c r="BY16" s="209"/>
      <c r="BZ16" s="209"/>
      <c r="CA16" s="209"/>
      <c r="CB16" s="209"/>
      <c r="CC16" s="209"/>
      <c r="CD16" s="209"/>
      <c r="CE16" s="209"/>
      <c r="CF16" s="209"/>
      <c r="CG16" s="209"/>
      <c r="CH16" s="209"/>
      <c r="CI16" s="209"/>
      <c r="CJ16" s="209"/>
      <c r="CK16" s="209"/>
      <c r="CL16" s="209"/>
      <c r="CM16" s="209"/>
      <c r="CN16" s="209"/>
      <c r="CO16" s="209"/>
      <c r="CP16" s="209"/>
      <c r="CQ16" s="209"/>
      <c r="CR16" s="209"/>
      <c r="CS16" s="209"/>
      <c r="CT16" s="209"/>
      <c r="CU16" s="209"/>
      <c r="CV16" s="209"/>
      <c r="CW16" s="209"/>
      <c r="CX16" s="209"/>
      <c r="CY16" s="209"/>
      <c r="CZ16" s="209"/>
      <c r="DA16" s="209"/>
      <c r="DB16" s="209"/>
      <c r="DC16" s="209"/>
      <c r="DD16" s="209"/>
      <c r="DE16" s="209"/>
      <c r="DF16" s="209"/>
      <c r="DG16" s="209"/>
      <c r="DH16" s="209"/>
      <c r="DI16" s="209"/>
      <c r="DJ16" s="209"/>
      <c r="DK16" s="209"/>
      <c r="DL16" s="209"/>
      <c r="DM16" s="209"/>
      <c r="DN16" s="209"/>
      <c r="DO16" s="209"/>
      <c r="DP16" s="209"/>
      <c r="DQ16" s="209"/>
      <c r="DR16" s="209"/>
      <c r="DS16" s="209"/>
      <c r="DT16" s="209"/>
      <c r="DU16" s="209"/>
      <c r="DV16" s="209"/>
      <c r="DW16" s="209"/>
      <c r="DX16" s="209"/>
      <c r="DY16" s="209"/>
      <c r="DZ16" s="209"/>
      <c r="EA16" s="209"/>
      <c r="EB16" s="209"/>
      <c r="EC16" s="209"/>
      <c r="ED16" s="209"/>
      <c r="EE16" s="209"/>
      <c r="EF16" s="209"/>
      <c r="EG16" s="209"/>
      <c r="EH16" s="209"/>
      <c r="EI16" s="209"/>
      <c r="EJ16" s="209"/>
      <c r="EK16" s="209"/>
      <c r="EL16" s="209"/>
      <c r="EM16" s="209"/>
      <c r="EN16" s="209"/>
      <c r="EO16" s="209"/>
      <c r="EP16" s="209"/>
      <c r="EQ16" s="209"/>
      <c r="ER16" s="209"/>
      <c r="ES16" s="209"/>
      <c r="ET16" s="209"/>
      <c r="EU16" s="209"/>
      <c r="EV16" s="209"/>
      <c r="EW16" s="209"/>
      <c r="EX16" s="209"/>
      <c r="EY16" s="209"/>
      <c r="EZ16" s="209"/>
      <c r="FA16" s="209"/>
      <c r="FB16" s="209"/>
      <c r="FC16" s="209"/>
      <c r="FD16" s="209"/>
      <c r="FE16" s="209"/>
      <c r="FF16" s="209"/>
      <c r="FG16" s="209"/>
      <c r="FH16" s="209"/>
      <c r="FI16" s="209"/>
      <c r="FJ16" s="209"/>
      <c r="FK16" s="209"/>
      <c r="FL16" s="209"/>
      <c r="FM16" s="209"/>
      <c r="FN16" s="209"/>
      <c r="FO16" s="209"/>
      <c r="FP16" s="209"/>
      <c r="FQ16" s="209"/>
      <c r="FR16" s="209"/>
      <c r="FS16" s="209"/>
      <c r="FT16" s="209"/>
      <c r="FU16" s="209"/>
      <c r="FV16" s="209"/>
      <c r="FW16" s="209"/>
      <c r="FX16" s="209"/>
      <c r="FY16" s="209"/>
      <c r="FZ16" s="209"/>
      <c r="GA16" s="209"/>
      <c r="GB16" s="209"/>
      <c r="GC16" s="209"/>
      <c r="GD16" s="209"/>
      <c r="GE16" s="209"/>
      <c r="GF16" s="209"/>
      <c r="GG16" s="209"/>
      <c r="GH16" s="209"/>
      <c r="GI16" s="209"/>
      <c r="GJ16" s="209"/>
      <c r="GK16" s="209"/>
      <c r="GL16" s="209"/>
      <c r="GM16" s="209"/>
      <c r="GN16" s="209"/>
      <c r="GO16" s="209"/>
      <c r="GP16" s="209"/>
      <c r="GQ16" s="209"/>
      <c r="GR16" s="209"/>
      <c r="GS16" s="209"/>
      <c r="GT16" s="209"/>
      <c r="GU16" s="209"/>
      <c r="GV16" s="209"/>
      <c r="GW16" s="209"/>
      <c r="GX16" s="209"/>
      <c r="GY16" s="209"/>
      <c r="GZ16" s="209"/>
      <c r="HA16" s="209"/>
      <c r="HB16" s="209"/>
      <c r="HC16" s="209"/>
      <c r="HD16" s="209"/>
      <c r="HE16" s="209"/>
      <c r="HF16" s="209"/>
      <c r="HG16" s="209"/>
      <c r="HH16" s="209"/>
      <c r="HI16" s="209"/>
      <c r="HJ16" s="209"/>
      <c r="HK16" s="209"/>
      <c r="HL16" s="209"/>
      <c r="HM16" s="209"/>
      <c r="HN16" s="209"/>
    </row>
    <row r="17" spans="1:222" ht="55.05" customHeight="1" thickBot="1" x14ac:dyDescent="0.35">
      <c r="A17" s="202"/>
      <c r="B17" s="224"/>
      <c r="C17" s="203" t="s">
        <v>201</v>
      </c>
      <c r="D17" s="203" t="s">
        <v>215</v>
      </c>
      <c r="E17" s="203" t="s">
        <v>215</v>
      </c>
      <c r="F17" s="203" t="s">
        <v>215</v>
      </c>
      <c r="G17" s="203" t="s">
        <v>215</v>
      </c>
      <c r="H17" s="203" t="s">
        <v>215</v>
      </c>
      <c r="I17" s="203" t="s">
        <v>215</v>
      </c>
      <c r="J17" s="203" t="s">
        <v>215</v>
      </c>
      <c r="K17" s="203" t="s">
        <v>215</v>
      </c>
      <c r="L17" s="203" t="s">
        <v>215</v>
      </c>
      <c r="M17" s="203" t="s">
        <v>215</v>
      </c>
      <c r="N17" s="203" t="s">
        <v>215</v>
      </c>
      <c r="O17" s="203" t="s">
        <v>215</v>
      </c>
      <c r="P17" s="203" t="s">
        <v>215</v>
      </c>
      <c r="Q17" s="203" t="s">
        <v>215</v>
      </c>
      <c r="R17" s="203" t="s">
        <v>215</v>
      </c>
      <c r="S17" s="203" t="s">
        <v>215</v>
      </c>
      <c r="T17" s="203" t="s">
        <v>215</v>
      </c>
      <c r="U17" s="203" t="s">
        <v>215</v>
      </c>
      <c r="V17" s="203" t="s">
        <v>215</v>
      </c>
      <c r="W17" s="203" t="s">
        <v>215</v>
      </c>
      <c r="X17" s="203" t="s">
        <v>215</v>
      </c>
      <c r="Y17" s="203" t="s">
        <v>215</v>
      </c>
      <c r="Z17" s="203" t="s">
        <v>215</v>
      </c>
      <c r="AA17" s="203" t="s">
        <v>215</v>
      </c>
      <c r="AB17" s="203" t="s">
        <v>215</v>
      </c>
      <c r="AC17" s="203" t="s">
        <v>215</v>
      </c>
      <c r="AD17" s="203" t="s">
        <v>215</v>
      </c>
      <c r="AE17" s="203" t="s">
        <v>215</v>
      </c>
      <c r="AF17" s="203" t="s">
        <v>215</v>
      </c>
      <c r="AG17" s="203" t="s">
        <v>215</v>
      </c>
      <c r="AH17" s="203" t="s">
        <v>215</v>
      </c>
      <c r="AI17" s="203" t="s">
        <v>215</v>
      </c>
      <c r="AJ17" s="203" t="s">
        <v>215</v>
      </c>
      <c r="AK17" s="203" t="s">
        <v>215</v>
      </c>
      <c r="AL17" s="203" t="s">
        <v>215</v>
      </c>
      <c r="AM17" s="203" t="s">
        <v>215</v>
      </c>
      <c r="AN17" s="203" t="s">
        <v>215</v>
      </c>
      <c r="AO17" s="203" t="s">
        <v>215</v>
      </c>
      <c r="AP17" s="203" t="s">
        <v>215</v>
      </c>
      <c r="AQ17" s="203" t="s">
        <v>215</v>
      </c>
      <c r="AR17" s="203" t="s">
        <v>215</v>
      </c>
      <c r="AS17" s="203" t="s">
        <v>215</v>
      </c>
      <c r="AT17" s="203" t="s">
        <v>215</v>
      </c>
      <c r="AU17" s="203" t="s">
        <v>215</v>
      </c>
      <c r="AV17" s="203" t="s">
        <v>215</v>
      </c>
      <c r="AW17" s="203" t="s">
        <v>215</v>
      </c>
      <c r="AX17" s="203" t="s">
        <v>215</v>
      </c>
      <c r="AY17" s="203" t="s">
        <v>215</v>
      </c>
      <c r="AZ17" s="203" t="s">
        <v>215</v>
      </c>
      <c r="BA17" s="203" t="s">
        <v>215</v>
      </c>
      <c r="BB17" s="203" t="s">
        <v>215</v>
      </c>
      <c r="BC17" s="203" t="s">
        <v>215</v>
      </c>
      <c r="BD17" s="203" t="s">
        <v>215</v>
      </c>
      <c r="BE17" s="203" t="s">
        <v>215</v>
      </c>
      <c r="BF17" s="203" t="s">
        <v>215</v>
      </c>
      <c r="BG17" s="203" t="s">
        <v>215</v>
      </c>
      <c r="BH17" s="203" t="s">
        <v>215</v>
      </c>
      <c r="BI17" s="203" t="s">
        <v>215</v>
      </c>
      <c r="BJ17" s="203" t="s">
        <v>215</v>
      </c>
      <c r="BK17" s="203" t="s">
        <v>215</v>
      </c>
      <c r="BL17" s="203" t="s">
        <v>215</v>
      </c>
      <c r="BM17" s="203" t="s">
        <v>215</v>
      </c>
      <c r="BN17" s="203" t="s">
        <v>215</v>
      </c>
      <c r="BO17" s="203" t="s">
        <v>215</v>
      </c>
      <c r="BP17" s="203" t="s">
        <v>215</v>
      </c>
      <c r="BQ17" s="203" t="s">
        <v>215</v>
      </c>
      <c r="BR17" s="203" t="s">
        <v>215</v>
      </c>
      <c r="BS17" s="203" t="s">
        <v>215</v>
      </c>
      <c r="BT17" s="203" t="s">
        <v>215</v>
      </c>
      <c r="BU17" s="203" t="s">
        <v>215</v>
      </c>
      <c r="BV17" s="203" t="s">
        <v>215</v>
      </c>
      <c r="BW17" s="203" t="s">
        <v>215</v>
      </c>
      <c r="BX17" s="203" t="s">
        <v>215</v>
      </c>
      <c r="BY17" s="203" t="s">
        <v>215</v>
      </c>
      <c r="BZ17" s="203" t="s">
        <v>215</v>
      </c>
      <c r="CA17" s="203" t="s">
        <v>215</v>
      </c>
      <c r="CB17" s="203" t="s">
        <v>215</v>
      </c>
      <c r="CC17" s="203" t="s">
        <v>215</v>
      </c>
      <c r="CD17" s="203" t="s">
        <v>215</v>
      </c>
      <c r="CE17" s="203" t="s">
        <v>215</v>
      </c>
      <c r="CF17" s="203" t="s">
        <v>215</v>
      </c>
      <c r="CG17" s="203" t="s">
        <v>215</v>
      </c>
      <c r="CH17" s="203" t="s">
        <v>215</v>
      </c>
      <c r="CI17" s="203" t="s">
        <v>215</v>
      </c>
      <c r="CJ17" s="203" t="s">
        <v>215</v>
      </c>
      <c r="CK17" s="203" t="s">
        <v>215</v>
      </c>
      <c r="CL17" s="203" t="s">
        <v>215</v>
      </c>
      <c r="CM17" s="203" t="s">
        <v>215</v>
      </c>
      <c r="CN17" s="203" t="s">
        <v>215</v>
      </c>
      <c r="CO17" s="203"/>
      <c r="CP17" s="203"/>
      <c r="CQ17" s="203"/>
      <c r="CR17" s="203"/>
      <c r="CS17" s="203"/>
      <c r="CT17" s="203"/>
      <c r="CU17" s="203"/>
      <c r="CV17" s="203"/>
      <c r="CW17" s="203"/>
      <c r="CX17" s="203"/>
      <c r="CY17" s="203"/>
      <c r="CZ17" s="203"/>
      <c r="DA17" s="203"/>
      <c r="DB17" s="203"/>
      <c r="DC17" s="203"/>
      <c r="DD17" s="203"/>
      <c r="DE17" s="203"/>
      <c r="DF17" s="203"/>
      <c r="DG17" s="203"/>
      <c r="DH17" s="203"/>
      <c r="DI17" s="203"/>
      <c r="DJ17" s="203"/>
      <c r="DK17" s="203"/>
      <c r="DL17" s="203"/>
      <c r="DM17" s="203"/>
      <c r="DN17" s="203"/>
      <c r="DO17" s="203"/>
      <c r="DP17" s="203"/>
      <c r="DQ17" s="203"/>
      <c r="DR17" s="203"/>
      <c r="DS17" s="203"/>
      <c r="DT17" s="203"/>
      <c r="DU17" s="203"/>
      <c r="DV17" s="203"/>
      <c r="DW17" s="203"/>
      <c r="DX17" s="203"/>
      <c r="DY17" s="203"/>
      <c r="DZ17" s="203"/>
      <c r="EA17" s="203"/>
      <c r="EB17" s="203"/>
      <c r="EC17" s="203"/>
      <c r="ED17" s="203"/>
      <c r="EE17" s="203"/>
      <c r="EF17" s="203"/>
      <c r="EG17" s="203"/>
      <c r="EH17" s="203"/>
      <c r="EI17" s="203"/>
      <c r="EJ17" s="203"/>
      <c r="EK17" s="203"/>
      <c r="EL17" s="203"/>
      <c r="EM17" s="203"/>
      <c r="EN17" s="203"/>
      <c r="EO17" s="203"/>
      <c r="EP17" s="203"/>
      <c r="EQ17" s="203"/>
      <c r="ER17" s="203"/>
      <c r="ES17" s="203"/>
      <c r="ET17" s="203"/>
      <c r="EU17" s="203"/>
      <c r="EV17" s="203"/>
      <c r="EW17" s="203"/>
      <c r="EX17" s="203"/>
      <c r="EY17" s="203"/>
      <c r="EZ17" s="203"/>
      <c r="FA17" s="203"/>
      <c r="FB17" s="203"/>
      <c r="FC17" s="203"/>
      <c r="FD17" s="203"/>
      <c r="FE17" s="203"/>
      <c r="FF17" s="203"/>
      <c r="FG17" s="203"/>
      <c r="FH17" s="203"/>
      <c r="FI17" s="203"/>
      <c r="FJ17" s="203"/>
      <c r="FK17" s="203"/>
      <c r="FL17" s="203"/>
      <c r="FM17" s="203"/>
      <c r="FN17" s="203"/>
      <c r="FO17" s="203"/>
      <c r="FP17" s="203"/>
      <c r="FQ17" s="203"/>
      <c r="FR17" s="203"/>
      <c r="FS17" s="203"/>
      <c r="FT17" s="203"/>
      <c r="FU17" s="203"/>
      <c r="FV17" s="203"/>
      <c r="FW17" s="203"/>
      <c r="FX17" s="203"/>
      <c r="FY17" s="203"/>
      <c r="FZ17" s="203"/>
      <c r="GA17" s="203"/>
      <c r="GB17" s="203"/>
      <c r="GC17" s="203"/>
      <c r="GD17" s="203"/>
      <c r="GE17" s="203"/>
      <c r="GF17" s="203"/>
      <c r="GG17" s="203"/>
      <c r="GH17" s="203"/>
      <c r="GI17" s="203"/>
      <c r="GJ17" s="203"/>
      <c r="GK17" s="203"/>
      <c r="GL17" s="203"/>
      <c r="GM17" s="203"/>
      <c r="GN17" s="203"/>
      <c r="GO17" s="203"/>
      <c r="GP17" s="203"/>
      <c r="GQ17" s="203"/>
      <c r="GR17" s="203"/>
      <c r="GS17" s="203"/>
      <c r="GT17" s="203"/>
      <c r="GU17" s="203"/>
      <c r="GV17" s="203"/>
      <c r="GW17" s="203"/>
      <c r="GX17" s="203"/>
      <c r="GY17" s="203"/>
      <c r="GZ17" s="203"/>
      <c r="HA17" s="203"/>
      <c r="HB17" s="203"/>
      <c r="HC17" s="203"/>
      <c r="HD17" s="203"/>
      <c r="HE17" s="203"/>
      <c r="HF17" s="203"/>
      <c r="HG17" s="203"/>
      <c r="HH17" s="203"/>
      <c r="HI17" s="203"/>
      <c r="HJ17" s="203"/>
      <c r="HK17" s="203"/>
      <c r="HL17" s="203"/>
      <c r="HM17" s="203"/>
      <c r="HN17" s="203"/>
    </row>
    <row r="18" spans="1:222" s="196" customFormat="1" ht="15" customHeight="1" thickBot="1" x14ac:dyDescent="0.35">
      <c r="A18" s="202">
        <v>1.5</v>
      </c>
      <c r="B18" s="224" t="s">
        <v>13</v>
      </c>
      <c r="C18" s="209">
        <v>9</v>
      </c>
      <c r="D18" s="209"/>
      <c r="E18" s="209"/>
      <c r="F18" s="209"/>
      <c r="G18" s="209"/>
      <c r="H18" s="209"/>
      <c r="I18" s="209"/>
      <c r="J18" s="209"/>
      <c r="K18" s="209"/>
      <c r="L18" s="209"/>
      <c r="M18" s="209"/>
      <c r="N18" s="209"/>
      <c r="O18" s="209"/>
      <c r="P18" s="209"/>
      <c r="Q18" s="209"/>
      <c r="R18" s="209"/>
      <c r="S18" s="209"/>
      <c r="T18" s="209"/>
      <c r="U18" s="209"/>
      <c r="V18" s="209"/>
      <c r="W18" s="209"/>
      <c r="X18" s="209"/>
      <c r="Y18" s="209"/>
      <c r="Z18" s="209"/>
      <c r="AA18" s="209"/>
      <c r="AB18" s="209"/>
      <c r="AC18" s="209"/>
      <c r="AD18" s="209"/>
      <c r="AE18" s="209"/>
      <c r="AF18" s="209"/>
      <c r="AG18" s="209"/>
      <c r="AH18" s="209"/>
      <c r="AI18" s="209"/>
      <c r="AJ18" s="209"/>
      <c r="AK18" s="209"/>
      <c r="AL18" s="209"/>
      <c r="AM18" s="209"/>
      <c r="AN18" s="209"/>
      <c r="AO18" s="209"/>
      <c r="AP18" s="209"/>
      <c r="AQ18" s="209"/>
      <c r="AR18" s="209"/>
      <c r="AS18" s="209"/>
      <c r="AT18" s="209"/>
      <c r="AU18" s="209"/>
      <c r="AV18" s="209"/>
      <c r="AW18" s="209"/>
      <c r="AX18" s="209"/>
      <c r="AY18" s="209"/>
      <c r="AZ18" s="209"/>
      <c r="BA18" s="209"/>
      <c r="BB18" s="209"/>
      <c r="BC18" s="209"/>
      <c r="BD18" s="209"/>
      <c r="BE18" s="209"/>
      <c r="BF18" s="209"/>
      <c r="BG18" s="209"/>
      <c r="BH18" s="209"/>
      <c r="BI18" s="209"/>
      <c r="BJ18" s="209"/>
      <c r="BK18" s="209"/>
      <c r="BL18" s="209"/>
      <c r="BM18" s="209"/>
      <c r="BN18" s="209"/>
      <c r="BO18" s="209"/>
      <c r="BP18" s="209"/>
      <c r="BQ18" s="209"/>
      <c r="BR18" s="209"/>
      <c r="BS18" s="209"/>
      <c r="BT18" s="209"/>
      <c r="BU18" s="209"/>
      <c r="BV18" s="209"/>
      <c r="BW18" s="209"/>
      <c r="BX18" s="209"/>
      <c r="BY18" s="209"/>
      <c r="BZ18" s="209"/>
      <c r="CA18" s="209"/>
      <c r="CB18" s="209"/>
      <c r="CC18" s="209"/>
      <c r="CD18" s="209"/>
      <c r="CE18" s="209"/>
      <c r="CF18" s="209"/>
      <c r="CG18" s="209"/>
      <c r="CH18" s="209"/>
      <c r="CI18" s="209"/>
      <c r="CJ18" s="209"/>
      <c r="CK18" s="209"/>
      <c r="CL18" s="209"/>
      <c r="CM18" s="209"/>
      <c r="CN18" s="209"/>
      <c r="CO18" s="209"/>
      <c r="CP18" s="209"/>
      <c r="CQ18" s="209"/>
      <c r="CR18" s="209"/>
      <c r="CS18" s="209"/>
      <c r="CT18" s="209"/>
      <c r="CU18" s="209"/>
      <c r="CV18" s="209"/>
      <c r="CW18" s="209"/>
      <c r="CX18" s="209"/>
      <c r="CY18" s="209"/>
      <c r="CZ18" s="209"/>
      <c r="DA18" s="209"/>
      <c r="DB18" s="209"/>
      <c r="DC18" s="209"/>
      <c r="DD18" s="209"/>
      <c r="DE18" s="209"/>
      <c r="DF18" s="209"/>
      <c r="DG18" s="209"/>
      <c r="DH18" s="209"/>
      <c r="DI18" s="209"/>
      <c r="DJ18" s="209"/>
      <c r="DK18" s="209"/>
      <c r="DL18" s="209"/>
      <c r="DM18" s="209"/>
      <c r="DN18" s="209"/>
      <c r="DO18" s="209"/>
      <c r="DP18" s="209"/>
      <c r="DQ18" s="209"/>
      <c r="DR18" s="209"/>
      <c r="DS18" s="209"/>
      <c r="DT18" s="209"/>
      <c r="DU18" s="209"/>
      <c r="DV18" s="209"/>
      <c r="DW18" s="209"/>
      <c r="DX18" s="209"/>
      <c r="DY18" s="209"/>
      <c r="DZ18" s="209"/>
      <c r="EA18" s="209"/>
      <c r="EB18" s="209"/>
      <c r="EC18" s="209"/>
      <c r="ED18" s="209"/>
      <c r="EE18" s="209"/>
      <c r="EF18" s="209"/>
      <c r="EG18" s="209"/>
      <c r="EH18" s="209"/>
      <c r="EI18" s="209"/>
      <c r="EJ18" s="209"/>
      <c r="EK18" s="209"/>
      <c r="EL18" s="209"/>
      <c r="EM18" s="209"/>
      <c r="EN18" s="209"/>
      <c r="EO18" s="209"/>
      <c r="EP18" s="209"/>
      <c r="EQ18" s="209"/>
      <c r="ER18" s="209"/>
      <c r="ES18" s="209"/>
      <c r="ET18" s="209"/>
      <c r="EU18" s="209"/>
      <c r="EV18" s="209"/>
      <c r="EW18" s="209"/>
      <c r="EX18" s="209"/>
      <c r="EY18" s="209"/>
      <c r="EZ18" s="209"/>
      <c r="FA18" s="209"/>
      <c r="FB18" s="209"/>
      <c r="FC18" s="209"/>
      <c r="FD18" s="209"/>
      <c r="FE18" s="209"/>
      <c r="FF18" s="209"/>
      <c r="FG18" s="209"/>
      <c r="FH18" s="209"/>
      <c r="FI18" s="209"/>
      <c r="FJ18" s="209"/>
      <c r="FK18" s="209"/>
      <c r="FL18" s="209"/>
      <c r="FM18" s="209"/>
      <c r="FN18" s="209"/>
      <c r="FO18" s="209"/>
      <c r="FP18" s="209"/>
      <c r="FQ18" s="209"/>
      <c r="FR18" s="209"/>
      <c r="FS18" s="209"/>
      <c r="FT18" s="209"/>
      <c r="FU18" s="209"/>
      <c r="FV18" s="209"/>
      <c r="FW18" s="209"/>
      <c r="FX18" s="209"/>
      <c r="FY18" s="209"/>
      <c r="FZ18" s="209"/>
      <c r="GA18" s="209"/>
      <c r="GB18" s="209"/>
      <c r="GC18" s="209"/>
      <c r="GD18" s="209"/>
      <c r="GE18" s="209"/>
      <c r="GF18" s="209"/>
      <c r="GG18" s="209"/>
      <c r="GH18" s="209"/>
      <c r="GI18" s="209"/>
      <c r="GJ18" s="209"/>
      <c r="GK18" s="209"/>
      <c r="GL18" s="209"/>
      <c r="GM18" s="209"/>
      <c r="GN18" s="209"/>
      <c r="GO18" s="209"/>
      <c r="GP18" s="209"/>
      <c r="GQ18" s="209"/>
      <c r="GR18" s="209"/>
      <c r="GS18" s="209"/>
      <c r="GT18" s="209"/>
      <c r="GU18" s="209"/>
      <c r="GV18" s="209"/>
      <c r="GW18" s="209"/>
      <c r="GX18" s="209"/>
      <c r="GY18" s="209"/>
      <c r="GZ18" s="209"/>
      <c r="HA18" s="209"/>
      <c r="HB18" s="209"/>
      <c r="HC18" s="209"/>
      <c r="HD18" s="209"/>
      <c r="HE18" s="209"/>
      <c r="HF18" s="209"/>
      <c r="HG18" s="209"/>
      <c r="HH18" s="209"/>
      <c r="HI18" s="209"/>
      <c r="HJ18" s="209"/>
      <c r="HK18" s="209"/>
      <c r="HL18" s="209"/>
      <c r="HM18" s="209"/>
      <c r="HN18" s="209"/>
    </row>
    <row r="19" spans="1:222" ht="55.05" customHeight="1" thickBot="1" x14ac:dyDescent="0.35">
      <c r="A19" s="202"/>
      <c r="B19" s="224"/>
      <c r="C19" s="203" t="s">
        <v>209</v>
      </c>
      <c r="D19" s="203" t="s">
        <v>215</v>
      </c>
      <c r="E19" s="203" t="s">
        <v>215</v>
      </c>
      <c r="F19" s="203" t="s">
        <v>215</v>
      </c>
      <c r="G19" s="203" t="s">
        <v>215</v>
      </c>
      <c r="H19" s="203" t="s">
        <v>215</v>
      </c>
      <c r="I19" s="203" t="s">
        <v>215</v>
      </c>
      <c r="J19" s="203" t="s">
        <v>215</v>
      </c>
      <c r="K19" s="203" t="s">
        <v>215</v>
      </c>
      <c r="L19" s="203" t="s">
        <v>215</v>
      </c>
      <c r="M19" s="203" t="s">
        <v>215</v>
      </c>
      <c r="N19" s="203" t="s">
        <v>215</v>
      </c>
      <c r="O19" s="203" t="s">
        <v>215</v>
      </c>
      <c r="P19" s="203" t="s">
        <v>215</v>
      </c>
      <c r="Q19" s="203" t="s">
        <v>215</v>
      </c>
      <c r="R19" s="203" t="s">
        <v>215</v>
      </c>
      <c r="S19" s="203" t="s">
        <v>215</v>
      </c>
      <c r="T19" s="203" t="s">
        <v>215</v>
      </c>
      <c r="U19" s="203" t="s">
        <v>215</v>
      </c>
      <c r="V19" s="203" t="s">
        <v>215</v>
      </c>
      <c r="W19" s="203" t="s">
        <v>215</v>
      </c>
      <c r="X19" s="203" t="s">
        <v>215</v>
      </c>
      <c r="Y19" s="203" t="s">
        <v>215</v>
      </c>
      <c r="Z19" s="203" t="s">
        <v>215</v>
      </c>
      <c r="AA19" s="203" t="s">
        <v>215</v>
      </c>
      <c r="AB19" s="203" t="s">
        <v>215</v>
      </c>
      <c r="AC19" s="203" t="s">
        <v>215</v>
      </c>
      <c r="AD19" s="203" t="s">
        <v>215</v>
      </c>
      <c r="AE19" s="203" t="s">
        <v>215</v>
      </c>
      <c r="AF19" s="203" t="s">
        <v>215</v>
      </c>
      <c r="AG19" s="203" t="s">
        <v>215</v>
      </c>
      <c r="AH19" s="203" t="s">
        <v>215</v>
      </c>
      <c r="AI19" s="203" t="s">
        <v>215</v>
      </c>
      <c r="AJ19" s="203" t="s">
        <v>215</v>
      </c>
      <c r="AK19" s="203" t="s">
        <v>215</v>
      </c>
      <c r="AL19" s="203" t="s">
        <v>215</v>
      </c>
      <c r="AM19" s="203" t="s">
        <v>215</v>
      </c>
      <c r="AN19" s="203" t="s">
        <v>215</v>
      </c>
      <c r="AO19" s="203" t="s">
        <v>215</v>
      </c>
      <c r="AP19" s="203" t="s">
        <v>215</v>
      </c>
      <c r="AQ19" s="203" t="s">
        <v>215</v>
      </c>
      <c r="AR19" s="203" t="s">
        <v>215</v>
      </c>
      <c r="AS19" s="203" t="s">
        <v>215</v>
      </c>
      <c r="AT19" s="203" t="s">
        <v>215</v>
      </c>
      <c r="AU19" s="203" t="s">
        <v>215</v>
      </c>
      <c r="AV19" s="203" t="s">
        <v>215</v>
      </c>
      <c r="AW19" s="203" t="s">
        <v>215</v>
      </c>
      <c r="AX19" s="203" t="s">
        <v>215</v>
      </c>
      <c r="AY19" s="203" t="s">
        <v>215</v>
      </c>
      <c r="AZ19" s="203" t="s">
        <v>215</v>
      </c>
      <c r="BA19" s="203" t="s">
        <v>215</v>
      </c>
      <c r="BB19" s="203" t="s">
        <v>215</v>
      </c>
      <c r="BC19" s="203" t="s">
        <v>215</v>
      </c>
      <c r="BD19" s="203" t="s">
        <v>215</v>
      </c>
      <c r="BE19" s="203" t="s">
        <v>215</v>
      </c>
      <c r="BF19" s="203" t="s">
        <v>215</v>
      </c>
      <c r="BG19" s="203" t="s">
        <v>215</v>
      </c>
      <c r="BH19" s="203" t="s">
        <v>215</v>
      </c>
      <c r="BI19" s="203" t="s">
        <v>215</v>
      </c>
      <c r="BJ19" s="203" t="s">
        <v>215</v>
      </c>
      <c r="BK19" s="203" t="s">
        <v>215</v>
      </c>
      <c r="BL19" s="203" t="s">
        <v>215</v>
      </c>
      <c r="BM19" s="203" t="s">
        <v>215</v>
      </c>
      <c r="BN19" s="203" t="s">
        <v>215</v>
      </c>
      <c r="BO19" s="203" t="s">
        <v>215</v>
      </c>
      <c r="BP19" s="203" t="s">
        <v>215</v>
      </c>
      <c r="BQ19" s="203" t="s">
        <v>215</v>
      </c>
      <c r="BR19" s="203" t="s">
        <v>215</v>
      </c>
      <c r="BS19" s="203" t="s">
        <v>215</v>
      </c>
      <c r="BT19" s="203" t="s">
        <v>215</v>
      </c>
      <c r="BU19" s="203" t="s">
        <v>215</v>
      </c>
      <c r="BV19" s="203" t="s">
        <v>215</v>
      </c>
      <c r="BW19" s="203" t="s">
        <v>215</v>
      </c>
      <c r="BX19" s="203" t="s">
        <v>215</v>
      </c>
      <c r="BY19" s="203" t="s">
        <v>215</v>
      </c>
      <c r="BZ19" s="203" t="s">
        <v>215</v>
      </c>
      <c r="CA19" s="203" t="s">
        <v>215</v>
      </c>
      <c r="CB19" s="203" t="s">
        <v>215</v>
      </c>
      <c r="CC19" s="203" t="s">
        <v>215</v>
      </c>
      <c r="CD19" s="203" t="s">
        <v>215</v>
      </c>
      <c r="CE19" s="203" t="s">
        <v>215</v>
      </c>
      <c r="CF19" s="203" t="s">
        <v>215</v>
      </c>
      <c r="CG19" s="203" t="s">
        <v>215</v>
      </c>
      <c r="CH19" s="203" t="s">
        <v>215</v>
      </c>
      <c r="CI19" s="203" t="s">
        <v>215</v>
      </c>
      <c r="CJ19" s="203" t="s">
        <v>215</v>
      </c>
      <c r="CK19" s="203" t="s">
        <v>215</v>
      </c>
      <c r="CL19" s="203" t="s">
        <v>215</v>
      </c>
      <c r="CM19" s="203" t="s">
        <v>215</v>
      </c>
      <c r="CN19" s="203" t="s">
        <v>215</v>
      </c>
      <c r="CO19" s="203"/>
      <c r="CP19" s="203"/>
      <c r="CQ19" s="203"/>
      <c r="CR19" s="203"/>
      <c r="CS19" s="203"/>
      <c r="CT19" s="203"/>
      <c r="CU19" s="203"/>
      <c r="CV19" s="203"/>
      <c r="CW19" s="203"/>
      <c r="CX19" s="203"/>
      <c r="CY19" s="203"/>
      <c r="CZ19" s="203"/>
      <c r="DA19" s="203"/>
      <c r="DB19" s="203"/>
      <c r="DC19" s="203"/>
      <c r="DD19" s="203"/>
      <c r="DE19" s="203"/>
      <c r="DF19" s="203"/>
      <c r="DG19" s="203"/>
      <c r="DH19" s="203"/>
      <c r="DI19" s="203"/>
      <c r="DJ19" s="203"/>
      <c r="DK19" s="203"/>
      <c r="DL19" s="203"/>
      <c r="DM19" s="203"/>
      <c r="DN19" s="203"/>
      <c r="DO19" s="203"/>
      <c r="DP19" s="203"/>
      <c r="DQ19" s="203"/>
      <c r="DR19" s="203"/>
      <c r="DS19" s="203"/>
      <c r="DT19" s="203"/>
      <c r="DU19" s="203"/>
      <c r="DV19" s="203"/>
      <c r="DW19" s="203"/>
      <c r="DX19" s="203"/>
      <c r="DY19" s="203"/>
      <c r="DZ19" s="203"/>
      <c r="EA19" s="203"/>
      <c r="EB19" s="203"/>
      <c r="EC19" s="203"/>
      <c r="ED19" s="203"/>
      <c r="EE19" s="203"/>
      <c r="EF19" s="203"/>
      <c r="EG19" s="203"/>
      <c r="EH19" s="203"/>
      <c r="EI19" s="203"/>
      <c r="EJ19" s="203"/>
      <c r="EK19" s="203"/>
      <c r="EL19" s="203"/>
      <c r="EM19" s="203"/>
      <c r="EN19" s="203"/>
      <c r="EO19" s="203"/>
      <c r="EP19" s="203"/>
      <c r="EQ19" s="203"/>
      <c r="ER19" s="203"/>
      <c r="ES19" s="203"/>
      <c r="ET19" s="203"/>
      <c r="EU19" s="203"/>
      <c r="EV19" s="203"/>
      <c r="EW19" s="203"/>
      <c r="EX19" s="203"/>
      <c r="EY19" s="203"/>
      <c r="EZ19" s="203"/>
      <c r="FA19" s="203"/>
      <c r="FB19" s="203"/>
      <c r="FC19" s="203"/>
      <c r="FD19" s="203"/>
      <c r="FE19" s="203"/>
      <c r="FF19" s="203"/>
      <c r="FG19" s="203"/>
      <c r="FH19" s="203"/>
      <c r="FI19" s="203"/>
      <c r="FJ19" s="203"/>
      <c r="FK19" s="203"/>
      <c r="FL19" s="203"/>
      <c r="FM19" s="203"/>
      <c r="FN19" s="203"/>
      <c r="FO19" s="203"/>
      <c r="FP19" s="203"/>
      <c r="FQ19" s="203"/>
      <c r="FR19" s="203"/>
      <c r="FS19" s="203"/>
      <c r="FT19" s="203"/>
      <c r="FU19" s="203"/>
      <c r="FV19" s="203"/>
      <c r="FW19" s="203"/>
      <c r="FX19" s="203"/>
      <c r="FY19" s="203"/>
      <c r="FZ19" s="203"/>
      <c r="GA19" s="203"/>
      <c r="GB19" s="203"/>
      <c r="GC19" s="203"/>
      <c r="GD19" s="203"/>
      <c r="GE19" s="203"/>
      <c r="GF19" s="203"/>
      <c r="GG19" s="203"/>
      <c r="GH19" s="203"/>
      <c r="GI19" s="203"/>
      <c r="GJ19" s="203"/>
      <c r="GK19" s="203"/>
      <c r="GL19" s="203"/>
      <c r="GM19" s="203"/>
      <c r="GN19" s="203"/>
      <c r="GO19" s="203"/>
      <c r="GP19" s="203"/>
      <c r="GQ19" s="203"/>
      <c r="GR19" s="203"/>
      <c r="GS19" s="203"/>
      <c r="GT19" s="203"/>
      <c r="GU19" s="203"/>
      <c r="GV19" s="203"/>
      <c r="GW19" s="203"/>
      <c r="GX19" s="203"/>
      <c r="GY19" s="203"/>
      <c r="GZ19" s="203"/>
      <c r="HA19" s="203"/>
      <c r="HB19" s="203"/>
      <c r="HC19" s="203"/>
      <c r="HD19" s="203"/>
      <c r="HE19" s="203"/>
      <c r="HF19" s="203"/>
      <c r="HG19" s="203"/>
      <c r="HH19" s="203"/>
      <c r="HI19" s="203"/>
      <c r="HJ19" s="203"/>
      <c r="HK19" s="203"/>
      <c r="HL19" s="203"/>
      <c r="HM19" s="203"/>
      <c r="HN19" s="203"/>
    </row>
    <row r="20" spans="1:222" s="196" customFormat="1" ht="15" customHeight="1" thickBot="1" x14ac:dyDescent="0.35">
      <c r="A20" s="202">
        <v>1.6</v>
      </c>
      <c r="B20" s="224" t="s">
        <v>14</v>
      </c>
      <c r="C20" s="209">
        <v>9</v>
      </c>
      <c r="D20" s="209"/>
      <c r="E20" s="209"/>
      <c r="F20" s="209"/>
      <c r="G20" s="209"/>
      <c r="H20" s="209"/>
      <c r="I20" s="209"/>
      <c r="J20" s="209"/>
      <c r="K20" s="209"/>
      <c r="L20" s="209"/>
      <c r="M20" s="209"/>
      <c r="N20" s="209"/>
      <c r="O20" s="209"/>
      <c r="P20" s="209"/>
      <c r="Q20" s="209"/>
      <c r="R20" s="209"/>
      <c r="S20" s="209"/>
      <c r="T20" s="209"/>
      <c r="U20" s="209"/>
      <c r="V20" s="209"/>
      <c r="W20" s="209"/>
      <c r="X20" s="209"/>
      <c r="Y20" s="209"/>
      <c r="Z20" s="209"/>
      <c r="AA20" s="209"/>
      <c r="AB20" s="209"/>
      <c r="AC20" s="209"/>
      <c r="AD20" s="209"/>
      <c r="AE20" s="209"/>
      <c r="AF20" s="209"/>
      <c r="AG20" s="209"/>
      <c r="AH20" s="209"/>
      <c r="AI20" s="209"/>
      <c r="AJ20" s="209"/>
      <c r="AK20" s="209"/>
      <c r="AL20" s="209"/>
      <c r="AM20" s="209"/>
      <c r="AN20" s="209"/>
      <c r="AO20" s="209"/>
      <c r="AP20" s="209"/>
      <c r="AQ20" s="209"/>
      <c r="AR20" s="209"/>
      <c r="AS20" s="209"/>
      <c r="AT20" s="209"/>
      <c r="AU20" s="209"/>
      <c r="AV20" s="209"/>
      <c r="AW20" s="209"/>
      <c r="AX20" s="209"/>
      <c r="AY20" s="209"/>
      <c r="AZ20" s="209"/>
      <c r="BA20" s="209"/>
      <c r="BB20" s="209"/>
      <c r="BC20" s="209"/>
      <c r="BD20" s="209"/>
      <c r="BE20" s="209"/>
      <c r="BF20" s="209"/>
      <c r="BG20" s="209"/>
      <c r="BH20" s="209"/>
      <c r="BI20" s="209"/>
      <c r="BJ20" s="209"/>
      <c r="BK20" s="209"/>
      <c r="BL20" s="209"/>
      <c r="BM20" s="209"/>
      <c r="BN20" s="209"/>
      <c r="BO20" s="209"/>
      <c r="BP20" s="209"/>
      <c r="BQ20" s="209"/>
      <c r="BR20" s="209"/>
      <c r="BS20" s="209"/>
      <c r="BT20" s="209"/>
      <c r="BU20" s="209"/>
      <c r="BV20" s="209"/>
      <c r="BW20" s="209"/>
      <c r="BX20" s="209"/>
      <c r="BY20" s="209"/>
      <c r="BZ20" s="209"/>
      <c r="CA20" s="209"/>
      <c r="CB20" s="209"/>
      <c r="CC20" s="209"/>
      <c r="CD20" s="209"/>
      <c r="CE20" s="209"/>
      <c r="CF20" s="209"/>
      <c r="CG20" s="209"/>
      <c r="CH20" s="209"/>
      <c r="CI20" s="209"/>
      <c r="CJ20" s="209"/>
      <c r="CK20" s="209"/>
      <c r="CL20" s="209"/>
      <c r="CM20" s="209"/>
      <c r="CN20" s="209"/>
      <c r="CO20" s="209"/>
      <c r="CP20" s="209"/>
      <c r="CQ20" s="209"/>
      <c r="CR20" s="209"/>
      <c r="CS20" s="209"/>
      <c r="CT20" s="209"/>
      <c r="CU20" s="209"/>
      <c r="CV20" s="209"/>
      <c r="CW20" s="209"/>
      <c r="CX20" s="209"/>
      <c r="CY20" s="209"/>
      <c r="CZ20" s="209"/>
      <c r="DA20" s="209"/>
      <c r="DB20" s="209"/>
      <c r="DC20" s="209"/>
      <c r="DD20" s="209"/>
      <c r="DE20" s="209"/>
      <c r="DF20" s="209"/>
      <c r="DG20" s="209"/>
      <c r="DH20" s="209"/>
      <c r="DI20" s="209"/>
      <c r="DJ20" s="209"/>
      <c r="DK20" s="209"/>
      <c r="DL20" s="209"/>
      <c r="DM20" s="209"/>
      <c r="DN20" s="209"/>
      <c r="DO20" s="209"/>
      <c r="DP20" s="209"/>
      <c r="DQ20" s="209"/>
      <c r="DR20" s="209"/>
      <c r="DS20" s="209"/>
      <c r="DT20" s="209"/>
      <c r="DU20" s="209"/>
      <c r="DV20" s="209"/>
      <c r="DW20" s="209"/>
      <c r="DX20" s="209"/>
      <c r="DY20" s="209"/>
      <c r="DZ20" s="209"/>
      <c r="EA20" s="209"/>
      <c r="EB20" s="209"/>
      <c r="EC20" s="209"/>
      <c r="ED20" s="209"/>
      <c r="EE20" s="209"/>
      <c r="EF20" s="209"/>
      <c r="EG20" s="209"/>
      <c r="EH20" s="209"/>
      <c r="EI20" s="209"/>
      <c r="EJ20" s="209"/>
      <c r="EK20" s="209"/>
      <c r="EL20" s="209"/>
      <c r="EM20" s="209"/>
      <c r="EN20" s="209"/>
      <c r="EO20" s="209"/>
      <c r="EP20" s="209"/>
      <c r="EQ20" s="209"/>
      <c r="ER20" s="209"/>
      <c r="ES20" s="209"/>
      <c r="ET20" s="209"/>
      <c r="EU20" s="209"/>
      <c r="EV20" s="209"/>
      <c r="EW20" s="209"/>
      <c r="EX20" s="209"/>
      <c r="EY20" s="209"/>
      <c r="EZ20" s="209"/>
      <c r="FA20" s="209"/>
      <c r="FB20" s="209"/>
      <c r="FC20" s="209"/>
      <c r="FD20" s="209"/>
      <c r="FE20" s="209"/>
      <c r="FF20" s="209"/>
      <c r="FG20" s="209"/>
      <c r="FH20" s="209"/>
      <c r="FI20" s="209"/>
      <c r="FJ20" s="209"/>
      <c r="FK20" s="209"/>
      <c r="FL20" s="209"/>
      <c r="FM20" s="209"/>
      <c r="FN20" s="209"/>
      <c r="FO20" s="209"/>
      <c r="FP20" s="209"/>
      <c r="FQ20" s="209"/>
      <c r="FR20" s="209"/>
      <c r="FS20" s="209"/>
      <c r="FT20" s="209"/>
      <c r="FU20" s="209"/>
      <c r="FV20" s="209"/>
      <c r="FW20" s="209"/>
      <c r="FX20" s="209"/>
      <c r="FY20" s="209"/>
      <c r="FZ20" s="209"/>
      <c r="GA20" s="209"/>
      <c r="GB20" s="209"/>
      <c r="GC20" s="209"/>
      <c r="GD20" s="209"/>
      <c r="GE20" s="209"/>
      <c r="GF20" s="209"/>
      <c r="GG20" s="209"/>
      <c r="GH20" s="209"/>
      <c r="GI20" s="209"/>
      <c r="GJ20" s="209"/>
      <c r="GK20" s="209"/>
      <c r="GL20" s="209"/>
      <c r="GM20" s="209"/>
      <c r="GN20" s="209"/>
      <c r="GO20" s="209"/>
      <c r="GP20" s="209"/>
      <c r="GQ20" s="209"/>
      <c r="GR20" s="209"/>
      <c r="GS20" s="209"/>
      <c r="GT20" s="209"/>
      <c r="GU20" s="209"/>
      <c r="GV20" s="209"/>
      <c r="GW20" s="209"/>
      <c r="GX20" s="209"/>
      <c r="GY20" s="209"/>
      <c r="GZ20" s="209"/>
      <c r="HA20" s="209"/>
      <c r="HB20" s="209"/>
      <c r="HC20" s="209"/>
      <c r="HD20" s="209"/>
      <c r="HE20" s="209"/>
      <c r="HF20" s="209"/>
      <c r="HG20" s="209"/>
      <c r="HH20" s="209"/>
      <c r="HI20" s="209"/>
      <c r="HJ20" s="209"/>
      <c r="HK20" s="209"/>
      <c r="HL20" s="209"/>
      <c r="HM20" s="209"/>
      <c r="HN20" s="209"/>
    </row>
    <row r="21" spans="1:222" ht="55.05" customHeight="1" thickBot="1" x14ac:dyDescent="0.35">
      <c r="A21" s="202"/>
      <c r="B21" s="224"/>
      <c r="C21" s="203" t="s">
        <v>171</v>
      </c>
      <c r="D21" s="203" t="s">
        <v>215</v>
      </c>
      <c r="E21" s="203" t="s">
        <v>215</v>
      </c>
      <c r="F21" s="203" t="s">
        <v>215</v>
      </c>
      <c r="G21" s="203" t="s">
        <v>215</v>
      </c>
      <c r="H21" s="203" t="s">
        <v>215</v>
      </c>
      <c r="I21" s="203" t="s">
        <v>215</v>
      </c>
      <c r="J21" s="203" t="s">
        <v>215</v>
      </c>
      <c r="K21" s="203" t="s">
        <v>215</v>
      </c>
      <c r="L21" s="203" t="s">
        <v>215</v>
      </c>
      <c r="M21" s="203" t="s">
        <v>215</v>
      </c>
      <c r="N21" s="203" t="s">
        <v>215</v>
      </c>
      <c r="O21" s="203" t="s">
        <v>215</v>
      </c>
      <c r="P21" s="203" t="s">
        <v>215</v>
      </c>
      <c r="Q21" s="203" t="s">
        <v>215</v>
      </c>
      <c r="R21" s="203" t="s">
        <v>215</v>
      </c>
      <c r="S21" s="203" t="s">
        <v>215</v>
      </c>
      <c r="T21" s="203" t="s">
        <v>215</v>
      </c>
      <c r="U21" s="203" t="s">
        <v>215</v>
      </c>
      <c r="V21" s="203" t="s">
        <v>215</v>
      </c>
      <c r="W21" s="203" t="s">
        <v>215</v>
      </c>
      <c r="X21" s="203" t="s">
        <v>215</v>
      </c>
      <c r="Y21" s="203" t="s">
        <v>215</v>
      </c>
      <c r="Z21" s="203" t="s">
        <v>215</v>
      </c>
      <c r="AA21" s="203" t="s">
        <v>215</v>
      </c>
      <c r="AB21" s="203" t="s">
        <v>215</v>
      </c>
      <c r="AC21" s="203" t="s">
        <v>215</v>
      </c>
      <c r="AD21" s="203" t="s">
        <v>215</v>
      </c>
      <c r="AE21" s="203" t="s">
        <v>215</v>
      </c>
      <c r="AF21" s="203" t="s">
        <v>215</v>
      </c>
      <c r="AG21" s="203" t="s">
        <v>215</v>
      </c>
      <c r="AH21" s="203" t="s">
        <v>215</v>
      </c>
      <c r="AI21" s="203" t="s">
        <v>215</v>
      </c>
      <c r="AJ21" s="203" t="s">
        <v>215</v>
      </c>
      <c r="AK21" s="203" t="s">
        <v>215</v>
      </c>
      <c r="AL21" s="203" t="s">
        <v>215</v>
      </c>
      <c r="AM21" s="203" t="s">
        <v>215</v>
      </c>
      <c r="AN21" s="203" t="s">
        <v>215</v>
      </c>
      <c r="AO21" s="203" t="s">
        <v>215</v>
      </c>
      <c r="AP21" s="203" t="s">
        <v>215</v>
      </c>
      <c r="AQ21" s="203" t="s">
        <v>215</v>
      </c>
      <c r="AR21" s="203" t="s">
        <v>215</v>
      </c>
      <c r="AS21" s="203" t="s">
        <v>215</v>
      </c>
      <c r="AT21" s="203" t="s">
        <v>215</v>
      </c>
      <c r="AU21" s="203" t="s">
        <v>215</v>
      </c>
      <c r="AV21" s="203" t="s">
        <v>215</v>
      </c>
      <c r="AW21" s="203" t="s">
        <v>215</v>
      </c>
      <c r="AX21" s="203" t="s">
        <v>215</v>
      </c>
      <c r="AY21" s="203" t="s">
        <v>215</v>
      </c>
      <c r="AZ21" s="203" t="s">
        <v>215</v>
      </c>
      <c r="BA21" s="203" t="s">
        <v>215</v>
      </c>
      <c r="BB21" s="203" t="s">
        <v>215</v>
      </c>
      <c r="BC21" s="203" t="s">
        <v>215</v>
      </c>
      <c r="BD21" s="203" t="s">
        <v>215</v>
      </c>
      <c r="BE21" s="203" t="s">
        <v>215</v>
      </c>
      <c r="BF21" s="203" t="s">
        <v>215</v>
      </c>
      <c r="BG21" s="203" t="s">
        <v>215</v>
      </c>
      <c r="BH21" s="203" t="s">
        <v>215</v>
      </c>
      <c r="BI21" s="203" t="s">
        <v>215</v>
      </c>
      <c r="BJ21" s="203" t="s">
        <v>215</v>
      </c>
      <c r="BK21" s="203" t="s">
        <v>215</v>
      </c>
      <c r="BL21" s="203" t="s">
        <v>215</v>
      </c>
      <c r="BM21" s="203" t="s">
        <v>215</v>
      </c>
      <c r="BN21" s="203" t="s">
        <v>215</v>
      </c>
      <c r="BO21" s="203" t="s">
        <v>215</v>
      </c>
      <c r="BP21" s="203" t="s">
        <v>215</v>
      </c>
      <c r="BQ21" s="203" t="s">
        <v>215</v>
      </c>
      <c r="BR21" s="203" t="s">
        <v>215</v>
      </c>
      <c r="BS21" s="203" t="s">
        <v>215</v>
      </c>
      <c r="BT21" s="203" t="s">
        <v>215</v>
      </c>
      <c r="BU21" s="203" t="s">
        <v>215</v>
      </c>
      <c r="BV21" s="203" t="s">
        <v>215</v>
      </c>
      <c r="BW21" s="203" t="s">
        <v>215</v>
      </c>
      <c r="BX21" s="203" t="s">
        <v>215</v>
      </c>
      <c r="BY21" s="203" t="s">
        <v>215</v>
      </c>
      <c r="BZ21" s="203" t="s">
        <v>215</v>
      </c>
      <c r="CA21" s="203" t="s">
        <v>215</v>
      </c>
      <c r="CB21" s="203" t="s">
        <v>215</v>
      </c>
      <c r="CC21" s="203" t="s">
        <v>215</v>
      </c>
      <c r="CD21" s="203" t="s">
        <v>215</v>
      </c>
      <c r="CE21" s="203" t="s">
        <v>215</v>
      </c>
      <c r="CF21" s="203" t="s">
        <v>215</v>
      </c>
      <c r="CG21" s="203" t="s">
        <v>215</v>
      </c>
      <c r="CH21" s="203" t="s">
        <v>215</v>
      </c>
      <c r="CI21" s="203" t="s">
        <v>215</v>
      </c>
      <c r="CJ21" s="203" t="s">
        <v>215</v>
      </c>
      <c r="CK21" s="203" t="s">
        <v>215</v>
      </c>
      <c r="CL21" s="203" t="s">
        <v>215</v>
      </c>
      <c r="CM21" s="203" t="s">
        <v>215</v>
      </c>
      <c r="CN21" s="203" t="s">
        <v>215</v>
      </c>
      <c r="CO21" s="203"/>
      <c r="CP21" s="203"/>
      <c r="CQ21" s="203"/>
      <c r="CR21" s="203"/>
      <c r="CS21" s="203"/>
      <c r="CT21" s="203"/>
      <c r="CU21" s="203"/>
      <c r="CV21" s="203"/>
      <c r="CW21" s="203"/>
      <c r="CX21" s="203"/>
      <c r="CY21" s="203"/>
      <c r="CZ21" s="203"/>
      <c r="DA21" s="203"/>
      <c r="DB21" s="203"/>
      <c r="DC21" s="203"/>
      <c r="DD21" s="203"/>
      <c r="DE21" s="203"/>
      <c r="DF21" s="203"/>
      <c r="DG21" s="203"/>
      <c r="DH21" s="203"/>
      <c r="DI21" s="203"/>
      <c r="DJ21" s="203"/>
      <c r="DK21" s="203"/>
      <c r="DL21" s="203"/>
      <c r="DM21" s="203"/>
      <c r="DN21" s="203"/>
      <c r="DO21" s="203"/>
      <c r="DP21" s="203"/>
      <c r="DQ21" s="203"/>
      <c r="DR21" s="203"/>
      <c r="DS21" s="203"/>
      <c r="DT21" s="203"/>
      <c r="DU21" s="203"/>
      <c r="DV21" s="203"/>
      <c r="DW21" s="203"/>
      <c r="DX21" s="203"/>
      <c r="DY21" s="203"/>
      <c r="DZ21" s="203"/>
      <c r="EA21" s="203"/>
      <c r="EB21" s="203"/>
      <c r="EC21" s="203"/>
      <c r="ED21" s="203"/>
      <c r="EE21" s="203"/>
      <c r="EF21" s="203"/>
      <c r="EG21" s="203"/>
      <c r="EH21" s="203"/>
      <c r="EI21" s="203"/>
      <c r="EJ21" s="203"/>
      <c r="EK21" s="203"/>
      <c r="EL21" s="203"/>
      <c r="EM21" s="203"/>
      <c r="EN21" s="203"/>
      <c r="EO21" s="203"/>
      <c r="EP21" s="203"/>
      <c r="EQ21" s="203"/>
      <c r="ER21" s="203"/>
      <c r="ES21" s="203"/>
      <c r="ET21" s="203"/>
      <c r="EU21" s="203"/>
      <c r="EV21" s="203"/>
      <c r="EW21" s="203"/>
      <c r="EX21" s="203"/>
      <c r="EY21" s="203"/>
      <c r="EZ21" s="203"/>
      <c r="FA21" s="203"/>
      <c r="FB21" s="203"/>
      <c r="FC21" s="203"/>
      <c r="FD21" s="203"/>
      <c r="FE21" s="203"/>
      <c r="FF21" s="203"/>
      <c r="FG21" s="203"/>
      <c r="FH21" s="203"/>
      <c r="FI21" s="203"/>
      <c r="FJ21" s="203"/>
      <c r="FK21" s="203"/>
      <c r="FL21" s="203"/>
      <c r="FM21" s="203"/>
      <c r="FN21" s="203"/>
      <c r="FO21" s="203"/>
      <c r="FP21" s="203"/>
      <c r="FQ21" s="203"/>
      <c r="FR21" s="203"/>
      <c r="FS21" s="203"/>
      <c r="FT21" s="203"/>
      <c r="FU21" s="203"/>
      <c r="FV21" s="203"/>
      <c r="FW21" s="203"/>
      <c r="FX21" s="203"/>
      <c r="FY21" s="203"/>
      <c r="FZ21" s="203"/>
      <c r="GA21" s="203"/>
      <c r="GB21" s="203"/>
      <c r="GC21" s="203"/>
      <c r="GD21" s="203"/>
      <c r="GE21" s="203"/>
      <c r="GF21" s="203"/>
      <c r="GG21" s="203"/>
      <c r="GH21" s="203"/>
      <c r="GI21" s="203"/>
      <c r="GJ21" s="203"/>
      <c r="GK21" s="203"/>
      <c r="GL21" s="203"/>
      <c r="GM21" s="203"/>
      <c r="GN21" s="203"/>
      <c r="GO21" s="203"/>
      <c r="GP21" s="203"/>
      <c r="GQ21" s="203"/>
      <c r="GR21" s="203"/>
      <c r="GS21" s="203"/>
      <c r="GT21" s="203"/>
      <c r="GU21" s="203"/>
      <c r="GV21" s="203"/>
      <c r="GW21" s="203"/>
      <c r="GX21" s="203"/>
      <c r="GY21" s="203"/>
      <c r="GZ21" s="203"/>
      <c r="HA21" s="203"/>
      <c r="HB21" s="203"/>
      <c r="HC21" s="203"/>
      <c r="HD21" s="203"/>
      <c r="HE21" s="203"/>
      <c r="HF21" s="203"/>
      <c r="HG21" s="203"/>
      <c r="HH21" s="203"/>
      <c r="HI21" s="203"/>
      <c r="HJ21" s="203"/>
      <c r="HK21" s="203"/>
      <c r="HL21" s="203"/>
      <c r="HM21" s="203"/>
      <c r="HN21" s="203"/>
    </row>
    <row r="22" spans="1:222" s="196" customFormat="1" ht="15" customHeight="1" thickBot="1" x14ac:dyDescent="0.35">
      <c r="A22" s="202">
        <v>1.7</v>
      </c>
      <c r="B22" s="224" t="s">
        <v>15</v>
      </c>
      <c r="C22" s="209">
        <v>9</v>
      </c>
      <c r="D22" s="209"/>
      <c r="E22" s="209"/>
      <c r="F22" s="209"/>
      <c r="G22" s="209"/>
      <c r="H22" s="209"/>
      <c r="I22" s="209"/>
      <c r="J22" s="209"/>
      <c r="K22" s="209"/>
      <c r="L22" s="209"/>
      <c r="M22" s="209"/>
      <c r="N22" s="209"/>
      <c r="O22" s="209"/>
      <c r="P22" s="209"/>
      <c r="Q22" s="209"/>
      <c r="R22" s="209"/>
      <c r="S22" s="209"/>
      <c r="T22" s="209"/>
      <c r="U22" s="209"/>
      <c r="V22" s="209"/>
      <c r="W22" s="209"/>
      <c r="X22" s="209"/>
      <c r="Y22" s="209"/>
      <c r="Z22" s="209"/>
      <c r="AA22" s="209"/>
      <c r="AB22" s="209"/>
      <c r="AC22" s="209"/>
      <c r="AD22" s="209"/>
      <c r="AE22" s="209"/>
      <c r="AF22" s="209"/>
      <c r="AG22" s="209"/>
      <c r="AH22" s="209"/>
      <c r="AI22" s="209"/>
      <c r="AJ22" s="209"/>
      <c r="AK22" s="209"/>
      <c r="AL22" s="209"/>
      <c r="AM22" s="209"/>
      <c r="AN22" s="209"/>
      <c r="AO22" s="209"/>
      <c r="AP22" s="209"/>
      <c r="AQ22" s="209"/>
      <c r="AR22" s="209"/>
      <c r="AS22" s="209"/>
      <c r="AT22" s="209"/>
      <c r="AU22" s="209"/>
      <c r="AV22" s="209"/>
      <c r="AW22" s="209"/>
      <c r="AX22" s="209"/>
      <c r="AY22" s="209"/>
      <c r="AZ22" s="209"/>
      <c r="BA22" s="209"/>
      <c r="BB22" s="209"/>
      <c r="BC22" s="209"/>
      <c r="BD22" s="209"/>
      <c r="BE22" s="209"/>
      <c r="BF22" s="209"/>
      <c r="BG22" s="209"/>
      <c r="BH22" s="209"/>
      <c r="BI22" s="209"/>
      <c r="BJ22" s="209"/>
      <c r="BK22" s="209"/>
      <c r="BL22" s="209"/>
      <c r="BM22" s="209"/>
      <c r="BN22" s="209"/>
      <c r="BO22" s="209"/>
      <c r="BP22" s="209"/>
      <c r="BQ22" s="209"/>
      <c r="BR22" s="209"/>
      <c r="BS22" s="209"/>
      <c r="BT22" s="209"/>
      <c r="BU22" s="209"/>
      <c r="BV22" s="209"/>
      <c r="BW22" s="209"/>
      <c r="BX22" s="209"/>
      <c r="BY22" s="209"/>
      <c r="BZ22" s="209"/>
      <c r="CA22" s="209"/>
      <c r="CB22" s="209"/>
      <c r="CC22" s="209"/>
      <c r="CD22" s="209"/>
      <c r="CE22" s="209"/>
      <c r="CF22" s="209"/>
      <c r="CG22" s="209"/>
      <c r="CH22" s="209"/>
      <c r="CI22" s="209"/>
      <c r="CJ22" s="209"/>
      <c r="CK22" s="209"/>
      <c r="CL22" s="209"/>
      <c r="CM22" s="209"/>
      <c r="CN22" s="209"/>
      <c r="CO22" s="209"/>
      <c r="CP22" s="209"/>
      <c r="CQ22" s="209"/>
      <c r="CR22" s="209"/>
      <c r="CS22" s="209"/>
      <c r="CT22" s="209"/>
      <c r="CU22" s="209"/>
      <c r="CV22" s="209"/>
      <c r="CW22" s="209"/>
      <c r="CX22" s="209"/>
      <c r="CY22" s="209"/>
      <c r="CZ22" s="209"/>
      <c r="DA22" s="209"/>
      <c r="DB22" s="209"/>
      <c r="DC22" s="209"/>
      <c r="DD22" s="209"/>
      <c r="DE22" s="209"/>
      <c r="DF22" s="209"/>
      <c r="DG22" s="209"/>
      <c r="DH22" s="209"/>
      <c r="DI22" s="209"/>
      <c r="DJ22" s="209"/>
      <c r="DK22" s="209"/>
      <c r="DL22" s="209"/>
      <c r="DM22" s="209"/>
      <c r="DN22" s="209"/>
      <c r="DO22" s="209"/>
      <c r="DP22" s="209"/>
      <c r="DQ22" s="209"/>
      <c r="DR22" s="209"/>
      <c r="DS22" s="209"/>
      <c r="DT22" s="209"/>
      <c r="DU22" s="209"/>
      <c r="DV22" s="209"/>
      <c r="DW22" s="209"/>
      <c r="DX22" s="209"/>
      <c r="DY22" s="209"/>
      <c r="DZ22" s="209"/>
      <c r="EA22" s="209"/>
      <c r="EB22" s="209"/>
      <c r="EC22" s="209"/>
      <c r="ED22" s="209"/>
      <c r="EE22" s="209"/>
      <c r="EF22" s="209"/>
      <c r="EG22" s="209"/>
      <c r="EH22" s="209"/>
      <c r="EI22" s="209"/>
      <c r="EJ22" s="209"/>
      <c r="EK22" s="209"/>
      <c r="EL22" s="209"/>
      <c r="EM22" s="209"/>
      <c r="EN22" s="209"/>
      <c r="EO22" s="209"/>
      <c r="EP22" s="209"/>
      <c r="EQ22" s="209"/>
      <c r="ER22" s="209"/>
      <c r="ES22" s="209"/>
      <c r="ET22" s="209"/>
      <c r="EU22" s="209"/>
      <c r="EV22" s="209"/>
      <c r="EW22" s="209"/>
      <c r="EX22" s="209"/>
      <c r="EY22" s="209"/>
      <c r="EZ22" s="209"/>
      <c r="FA22" s="209"/>
      <c r="FB22" s="209"/>
      <c r="FC22" s="209"/>
      <c r="FD22" s="209"/>
      <c r="FE22" s="209"/>
      <c r="FF22" s="209"/>
      <c r="FG22" s="209"/>
      <c r="FH22" s="209"/>
      <c r="FI22" s="209"/>
      <c r="FJ22" s="209"/>
      <c r="FK22" s="209"/>
      <c r="FL22" s="209"/>
      <c r="FM22" s="209"/>
      <c r="FN22" s="209"/>
      <c r="FO22" s="209"/>
      <c r="FP22" s="209"/>
      <c r="FQ22" s="209"/>
      <c r="FR22" s="209"/>
      <c r="FS22" s="209"/>
      <c r="FT22" s="209"/>
      <c r="FU22" s="209"/>
      <c r="FV22" s="209"/>
      <c r="FW22" s="209"/>
      <c r="FX22" s="209"/>
      <c r="FY22" s="209"/>
      <c r="FZ22" s="209"/>
      <c r="GA22" s="209"/>
      <c r="GB22" s="209"/>
      <c r="GC22" s="209"/>
      <c r="GD22" s="209"/>
      <c r="GE22" s="209"/>
      <c r="GF22" s="209"/>
      <c r="GG22" s="209"/>
      <c r="GH22" s="209"/>
      <c r="GI22" s="209"/>
      <c r="GJ22" s="209"/>
      <c r="GK22" s="209"/>
      <c r="GL22" s="209"/>
      <c r="GM22" s="209"/>
      <c r="GN22" s="209"/>
      <c r="GO22" s="209"/>
      <c r="GP22" s="209"/>
      <c r="GQ22" s="209"/>
      <c r="GR22" s="209"/>
      <c r="GS22" s="209"/>
      <c r="GT22" s="209"/>
      <c r="GU22" s="209"/>
      <c r="GV22" s="209"/>
      <c r="GW22" s="209"/>
      <c r="GX22" s="209"/>
      <c r="GY22" s="209"/>
      <c r="GZ22" s="209"/>
      <c r="HA22" s="209"/>
      <c r="HB22" s="209"/>
      <c r="HC22" s="209"/>
      <c r="HD22" s="209"/>
      <c r="HE22" s="209"/>
      <c r="HF22" s="209"/>
      <c r="HG22" s="209"/>
      <c r="HH22" s="209"/>
      <c r="HI22" s="209"/>
      <c r="HJ22" s="209"/>
      <c r="HK22" s="209"/>
      <c r="HL22" s="209"/>
      <c r="HM22" s="209"/>
      <c r="HN22" s="209"/>
    </row>
    <row r="23" spans="1:222" ht="55.05" customHeight="1" thickBot="1" x14ac:dyDescent="0.35">
      <c r="A23" s="202"/>
      <c r="B23" s="224"/>
      <c r="C23" s="203" t="s">
        <v>212</v>
      </c>
      <c r="D23" s="203" t="s">
        <v>215</v>
      </c>
      <c r="E23" s="203" t="s">
        <v>215</v>
      </c>
      <c r="F23" s="203" t="s">
        <v>215</v>
      </c>
      <c r="G23" s="203" t="s">
        <v>215</v>
      </c>
      <c r="H23" s="203" t="s">
        <v>215</v>
      </c>
      <c r="I23" s="203" t="s">
        <v>215</v>
      </c>
      <c r="J23" s="203" t="s">
        <v>215</v>
      </c>
      <c r="K23" s="203" t="s">
        <v>215</v>
      </c>
      <c r="L23" s="203" t="s">
        <v>215</v>
      </c>
      <c r="M23" s="203" t="s">
        <v>215</v>
      </c>
      <c r="N23" s="203" t="s">
        <v>215</v>
      </c>
      <c r="O23" s="203" t="s">
        <v>215</v>
      </c>
      <c r="P23" s="203" t="s">
        <v>215</v>
      </c>
      <c r="Q23" s="203" t="s">
        <v>215</v>
      </c>
      <c r="R23" s="203" t="s">
        <v>215</v>
      </c>
      <c r="S23" s="203" t="s">
        <v>215</v>
      </c>
      <c r="T23" s="203" t="s">
        <v>215</v>
      </c>
      <c r="U23" s="203" t="s">
        <v>215</v>
      </c>
      <c r="V23" s="203" t="s">
        <v>215</v>
      </c>
      <c r="W23" s="203" t="s">
        <v>215</v>
      </c>
      <c r="X23" s="203" t="s">
        <v>215</v>
      </c>
      <c r="Y23" s="203" t="s">
        <v>215</v>
      </c>
      <c r="Z23" s="203" t="s">
        <v>215</v>
      </c>
      <c r="AA23" s="203" t="s">
        <v>215</v>
      </c>
      <c r="AB23" s="203" t="s">
        <v>215</v>
      </c>
      <c r="AC23" s="203" t="s">
        <v>215</v>
      </c>
      <c r="AD23" s="203" t="s">
        <v>215</v>
      </c>
      <c r="AE23" s="203" t="s">
        <v>215</v>
      </c>
      <c r="AF23" s="203" t="s">
        <v>215</v>
      </c>
      <c r="AG23" s="203" t="s">
        <v>215</v>
      </c>
      <c r="AH23" s="203" t="s">
        <v>215</v>
      </c>
      <c r="AI23" s="203" t="s">
        <v>215</v>
      </c>
      <c r="AJ23" s="203" t="s">
        <v>215</v>
      </c>
      <c r="AK23" s="203" t="s">
        <v>215</v>
      </c>
      <c r="AL23" s="203" t="s">
        <v>215</v>
      </c>
      <c r="AM23" s="203" t="s">
        <v>215</v>
      </c>
      <c r="AN23" s="203" t="s">
        <v>215</v>
      </c>
      <c r="AO23" s="203" t="s">
        <v>215</v>
      </c>
      <c r="AP23" s="203" t="s">
        <v>215</v>
      </c>
      <c r="AQ23" s="203" t="s">
        <v>215</v>
      </c>
      <c r="AR23" s="203" t="s">
        <v>215</v>
      </c>
      <c r="AS23" s="203" t="s">
        <v>215</v>
      </c>
      <c r="AT23" s="203" t="s">
        <v>215</v>
      </c>
      <c r="AU23" s="203" t="s">
        <v>215</v>
      </c>
      <c r="AV23" s="203" t="s">
        <v>215</v>
      </c>
      <c r="AW23" s="203" t="s">
        <v>215</v>
      </c>
      <c r="AX23" s="203" t="s">
        <v>215</v>
      </c>
      <c r="AY23" s="203" t="s">
        <v>215</v>
      </c>
      <c r="AZ23" s="203" t="s">
        <v>215</v>
      </c>
      <c r="BA23" s="203" t="s">
        <v>215</v>
      </c>
      <c r="BB23" s="203" t="s">
        <v>215</v>
      </c>
      <c r="BC23" s="203" t="s">
        <v>215</v>
      </c>
      <c r="BD23" s="203" t="s">
        <v>215</v>
      </c>
      <c r="BE23" s="203" t="s">
        <v>215</v>
      </c>
      <c r="BF23" s="203" t="s">
        <v>215</v>
      </c>
      <c r="BG23" s="203" t="s">
        <v>215</v>
      </c>
      <c r="BH23" s="203" t="s">
        <v>215</v>
      </c>
      <c r="BI23" s="203" t="s">
        <v>215</v>
      </c>
      <c r="BJ23" s="203" t="s">
        <v>215</v>
      </c>
      <c r="BK23" s="203" t="s">
        <v>215</v>
      </c>
      <c r="BL23" s="203" t="s">
        <v>215</v>
      </c>
      <c r="BM23" s="203" t="s">
        <v>215</v>
      </c>
      <c r="BN23" s="203" t="s">
        <v>215</v>
      </c>
      <c r="BO23" s="203" t="s">
        <v>215</v>
      </c>
      <c r="BP23" s="203" t="s">
        <v>215</v>
      </c>
      <c r="BQ23" s="203" t="s">
        <v>215</v>
      </c>
      <c r="BR23" s="203" t="s">
        <v>215</v>
      </c>
      <c r="BS23" s="203" t="s">
        <v>215</v>
      </c>
      <c r="BT23" s="203" t="s">
        <v>215</v>
      </c>
      <c r="BU23" s="203" t="s">
        <v>215</v>
      </c>
      <c r="BV23" s="203" t="s">
        <v>215</v>
      </c>
      <c r="BW23" s="203" t="s">
        <v>215</v>
      </c>
      <c r="BX23" s="203" t="s">
        <v>215</v>
      </c>
      <c r="BY23" s="203" t="s">
        <v>215</v>
      </c>
      <c r="BZ23" s="203" t="s">
        <v>215</v>
      </c>
      <c r="CA23" s="203" t="s">
        <v>215</v>
      </c>
      <c r="CB23" s="203" t="s">
        <v>215</v>
      </c>
      <c r="CC23" s="203" t="s">
        <v>215</v>
      </c>
      <c r="CD23" s="203" t="s">
        <v>215</v>
      </c>
      <c r="CE23" s="203" t="s">
        <v>215</v>
      </c>
      <c r="CF23" s="203" t="s">
        <v>215</v>
      </c>
      <c r="CG23" s="203" t="s">
        <v>215</v>
      </c>
      <c r="CH23" s="203" t="s">
        <v>215</v>
      </c>
      <c r="CI23" s="203" t="s">
        <v>215</v>
      </c>
      <c r="CJ23" s="203" t="s">
        <v>215</v>
      </c>
      <c r="CK23" s="203" t="s">
        <v>215</v>
      </c>
      <c r="CL23" s="203" t="s">
        <v>215</v>
      </c>
      <c r="CM23" s="203" t="s">
        <v>215</v>
      </c>
      <c r="CN23" s="203" t="s">
        <v>215</v>
      </c>
      <c r="CO23" s="203"/>
      <c r="CP23" s="203"/>
      <c r="CQ23" s="203"/>
      <c r="CR23" s="203"/>
      <c r="CS23" s="203"/>
      <c r="CT23" s="203"/>
      <c r="CU23" s="203"/>
      <c r="CV23" s="203"/>
      <c r="CW23" s="203"/>
      <c r="CX23" s="203"/>
      <c r="CY23" s="203"/>
      <c r="CZ23" s="203"/>
      <c r="DA23" s="203"/>
      <c r="DB23" s="203"/>
      <c r="DC23" s="203"/>
      <c r="DD23" s="203"/>
      <c r="DE23" s="203"/>
      <c r="DF23" s="203"/>
      <c r="DG23" s="203"/>
      <c r="DH23" s="203"/>
      <c r="DI23" s="203"/>
      <c r="DJ23" s="203"/>
      <c r="DK23" s="203"/>
      <c r="DL23" s="203"/>
      <c r="DM23" s="203"/>
      <c r="DN23" s="203"/>
      <c r="DO23" s="203"/>
      <c r="DP23" s="203"/>
      <c r="DQ23" s="203"/>
      <c r="DR23" s="203"/>
      <c r="DS23" s="203"/>
      <c r="DT23" s="203"/>
      <c r="DU23" s="203"/>
      <c r="DV23" s="203"/>
      <c r="DW23" s="203"/>
      <c r="DX23" s="203"/>
      <c r="DY23" s="203"/>
      <c r="DZ23" s="203"/>
      <c r="EA23" s="203"/>
      <c r="EB23" s="203"/>
      <c r="EC23" s="203"/>
      <c r="ED23" s="203"/>
      <c r="EE23" s="203"/>
      <c r="EF23" s="203"/>
      <c r="EG23" s="203"/>
      <c r="EH23" s="203"/>
      <c r="EI23" s="203"/>
      <c r="EJ23" s="203"/>
      <c r="EK23" s="203"/>
      <c r="EL23" s="203"/>
      <c r="EM23" s="203"/>
      <c r="EN23" s="203"/>
      <c r="EO23" s="203"/>
      <c r="EP23" s="203"/>
      <c r="EQ23" s="203"/>
      <c r="ER23" s="203"/>
      <c r="ES23" s="203"/>
      <c r="ET23" s="203"/>
      <c r="EU23" s="203"/>
      <c r="EV23" s="203"/>
      <c r="EW23" s="203"/>
      <c r="EX23" s="203"/>
      <c r="EY23" s="203"/>
      <c r="EZ23" s="203"/>
      <c r="FA23" s="203"/>
      <c r="FB23" s="203"/>
      <c r="FC23" s="203"/>
      <c r="FD23" s="203"/>
      <c r="FE23" s="203"/>
      <c r="FF23" s="203"/>
      <c r="FG23" s="203"/>
      <c r="FH23" s="203"/>
      <c r="FI23" s="203"/>
      <c r="FJ23" s="203"/>
      <c r="FK23" s="203"/>
      <c r="FL23" s="203"/>
      <c r="FM23" s="203"/>
      <c r="FN23" s="203"/>
      <c r="FO23" s="203"/>
      <c r="FP23" s="203"/>
      <c r="FQ23" s="203"/>
      <c r="FR23" s="203"/>
      <c r="FS23" s="203"/>
      <c r="FT23" s="203"/>
      <c r="FU23" s="203"/>
      <c r="FV23" s="203"/>
      <c r="FW23" s="203"/>
      <c r="FX23" s="203"/>
      <c r="FY23" s="203"/>
      <c r="FZ23" s="203"/>
      <c r="GA23" s="203"/>
      <c r="GB23" s="203"/>
      <c r="GC23" s="203"/>
      <c r="GD23" s="203"/>
      <c r="GE23" s="203"/>
      <c r="GF23" s="203"/>
      <c r="GG23" s="203"/>
      <c r="GH23" s="203"/>
      <c r="GI23" s="203"/>
      <c r="GJ23" s="203"/>
      <c r="GK23" s="203"/>
      <c r="GL23" s="203"/>
      <c r="GM23" s="203"/>
      <c r="GN23" s="203"/>
      <c r="GO23" s="203"/>
      <c r="GP23" s="203"/>
      <c r="GQ23" s="203"/>
      <c r="GR23" s="203"/>
      <c r="GS23" s="203"/>
      <c r="GT23" s="203"/>
      <c r="GU23" s="203"/>
      <c r="GV23" s="203"/>
      <c r="GW23" s="203"/>
      <c r="GX23" s="203"/>
      <c r="GY23" s="203"/>
      <c r="GZ23" s="203"/>
      <c r="HA23" s="203"/>
      <c r="HB23" s="203"/>
      <c r="HC23" s="203"/>
      <c r="HD23" s="203"/>
      <c r="HE23" s="203"/>
      <c r="HF23" s="203"/>
      <c r="HG23" s="203"/>
      <c r="HH23" s="203"/>
      <c r="HI23" s="203"/>
      <c r="HJ23" s="203"/>
      <c r="HK23" s="203"/>
      <c r="HL23" s="203"/>
      <c r="HM23" s="203"/>
      <c r="HN23" s="203"/>
    </row>
    <row r="24" spans="1:222" s="196" customFormat="1" ht="15" customHeight="1" thickBot="1" x14ac:dyDescent="0.35">
      <c r="A24" s="202">
        <v>1.8</v>
      </c>
      <c r="B24" s="224" t="s">
        <v>16</v>
      </c>
      <c r="C24" s="209">
        <v>9</v>
      </c>
      <c r="D24" s="209"/>
      <c r="E24" s="209"/>
      <c r="F24" s="209"/>
      <c r="G24" s="209"/>
      <c r="H24" s="209"/>
      <c r="I24" s="209"/>
      <c r="J24" s="209"/>
      <c r="K24" s="209"/>
      <c r="L24" s="209"/>
      <c r="M24" s="209"/>
      <c r="N24" s="209"/>
      <c r="O24" s="209"/>
      <c r="P24" s="209"/>
      <c r="Q24" s="209"/>
      <c r="R24" s="209"/>
      <c r="S24" s="209"/>
      <c r="T24" s="209"/>
      <c r="U24" s="209"/>
      <c r="V24" s="209"/>
      <c r="W24" s="209"/>
      <c r="X24" s="209"/>
      <c r="Y24" s="209"/>
      <c r="Z24" s="209"/>
      <c r="AA24" s="209"/>
      <c r="AB24" s="209"/>
      <c r="AC24" s="209"/>
      <c r="AD24" s="209"/>
      <c r="AE24" s="209"/>
      <c r="AF24" s="209"/>
      <c r="AG24" s="209"/>
      <c r="AH24" s="209"/>
      <c r="AI24" s="209"/>
      <c r="AJ24" s="209"/>
      <c r="AK24" s="209"/>
      <c r="AL24" s="209"/>
      <c r="AM24" s="209"/>
      <c r="AN24" s="209"/>
      <c r="AO24" s="209"/>
      <c r="AP24" s="209"/>
      <c r="AQ24" s="209"/>
      <c r="AR24" s="209"/>
      <c r="AS24" s="209"/>
      <c r="AT24" s="209"/>
      <c r="AU24" s="209"/>
      <c r="AV24" s="209"/>
      <c r="AW24" s="209"/>
      <c r="AX24" s="209"/>
      <c r="AY24" s="209"/>
      <c r="AZ24" s="209"/>
      <c r="BA24" s="209"/>
      <c r="BB24" s="209"/>
      <c r="BC24" s="209"/>
      <c r="BD24" s="209"/>
      <c r="BE24" s="209"/>
      <c r="BF24" s="209"/>
      <c r="BG24" s="209"/>
      <c r="BH24" s="209"/>
      <c r="BI24" s="209"/>
      <c r="BJ24" s="209"/>
      <c r="BK24" s="209"/>
      <c r="BL24" s="209"/>
      <c r="BM24" s="209"/>
      <c r="BN24" s="209"/>
      <c r="BO24" s="209"/>
      <c r="BP24" s="209"/>
      <c r="BQ24" s="209"/>
      <c r="BR24" s="209"/>
      <c r="BS24" s="209"/>
      <c r="BT24" s="209"/>
      <c r="BU24" s="209"/>
      <c r="BV24" s="209"/>
      <c r="BW24" s="209"/>
      <c r="BX24" s="209"/>
      <c r="BY24" s="209"/>
      <c r="BZ24" s="209"/>
      <c r="CA24" s="209"/>
      <c r="CB24" s="209"/>
      <c r="CC24" s="209"/>
      <c r="CD24" s="209"/>
      <c r="CE24" s="209"/>
      <c r="CF24" s="209"/>
      <c r="CG24" s="209"/>
      <c r="CH24" s="209"/>
      <c r="CI24" s="209"/>
      <c r="CJ24" s="209"/>
      <c r="CK24" s="209"/>
      <c r="CL24" s="209"/>
      <c r="CM24" s="209"/>
      <c r="CN24" s="209"/>
      <c r="CO24" s="209"/>
      <c r="CP24" s="209"/>
      <c r="CQ24" s="209"/>
      <c r="CR24" s="209"/>
      <c r="CS24" s="209"/>
      <c r="CT24" s="209"/>
      <c r="CU24" s="209"/>
      <c r="CV24" s="209"/>
      <c r="CW24" s="209"/>
      <c r="CX24" s="209"/>
      <c r="CY24" s="209"/>
      <c r="CZ24" s="209"/>
      <c r="DA24" s="209"/>
      <c r="DB24" s="209"/>
      <c r="DC24" s="209"/>
      <c r="DD24" s="209"/>
      <c r="DE24" s="209"/>
      <c r="DF24" s="209"/>
      <c r="DG24" s="209"/>
      <c r="DH24" s="209"/>
      <c r="DI24" s="209"/>
      <c r="DJ24" s="209"/>
      <c r="DK24" s="209"/>
      <c r="DL24" s="209"/>
      <c r="DM24" s="209"/>
      <c r="DN24" s="209"/>
      <c r="DO24" s="209"/>
      <c r="DP24" s="209"/>
      <c r="DQ24" s="209"/>
      <c r="DR24" s="209"/>
      <c r="DS24" s="209"/>
      <c r="DT24" s="209"/>
      <c r="DU24" s="209"/>
      <c r="DV24" s="209"/>
      <c r="DW24" s="209"/>
      <c r="DX24" s="209"/>
      <c r="DY24" s="209"/>
      <c r="DZ24" s="209"/>
      <c r="EA24" s="209"/>
      <c r="EB24" s="209"/>
      <c r="EC24" s="209"/>
      <c r="ED24" s="209"/>
      <c r="EE24" s="209"/>
      <c r="EF24" s="209"/>
      <c r="EG24" s="209"/>
      <c r="EH24" s="209"/>
      <c r="EI24" s="209"/>
      <c r="EJ24" s="209"/>
      <c r="EK24" s="209"/>
      <c r="EL24" s="209"/>
      <c r="EM24" s="209"/>
      <c r="EN24" s="209"/>
      <c r="EO24" s="209"/>
      <c r="EP24" s="209"/>
      <c r="EQ24" s="209"/>
      <c r="ER24" s="209"/>
      <c r="ES24" s="209"/>
      <c r="ET24" s="209"/>
      <c r="EU24" s="209"/>
      <c r="EV24" s="209"/>
      <c r="EW24" s="209"/>
      <c r="EX24" s="209"/>
      <c r="EY24" s="209"/>
      <c r="EZ24" s="209"/>
      <c r="FA24" s="209"/>
      <c r="FB24" s="209"/>
      <c r="FC24" s="209"/>
      <c r="FD24" s="209"/>
      <c r="FE24" s="209"/>
      <c r="FF24" s="209"/>
      <c r="FG24" s="209"/>
      <c r="FH24" s="209"/>
      <c r="FI24" s="209"/>
      <c r="FJ24" s="209"/>
      <c r="FK24" s="209"/>
      <c r="FL24" s="209"/>
      <c r="FM24" s="209"/>
      <c r="FN24" s="209"/>
      <c r="FO24" s="209"/>
      <c r="FP24" s="209"/>
      <c r="FQ24" s="209"/>
      <c r="FR24" s="209"/>
      <c r="FS24" s="209"/>
      <c r="FT24" s="209"/>
      <c r="FU24" s="209"/>
      <c r="FV24" s="209"/>
      <c r="FW24" s="209"/>
      <c r="FX24" s="209"/>
      <c r="FY24" s="209"/>
      <c r="FZ24" s="209"/>
      <c r="GA24" s="209"/>
      <c r="GB24" s="209"/>
      <c r="GC24" s="209"/>
      <c r="GD24" s="209"/>
      <c r="GE24" s="209"/>
      <c r="GF24" s="209"/>
      <c r="GG24" s="209"/>
      <c r="GH24" s="209"/>
      <c r="GI24" s="209"/>
      <c r="GJ24" s="209"/>
      <c r="GK24" s="209"/>
      <c r="GL24" s="209"/>
      <c r="GM24" s="209"/>
      <c r="GN24" s="209"/>
      <c r="GO24" s="209"/>
      <c r="GP24" s="209"/>
      <c r="GQ24" s="209"/>
      <c r="GR24" s="209"/>
      <c r="GS24" s="209"/>
      <c r="GT24" s="209"/>
      <c r="GU24" s="209"/>
      <c r="GV24" s="209"/>
      <c r="GW24" s="209"/>
      <c r="GX24" s="209"/>
      <c r="GY24" s="209"/>
      <c r="GZ24" s="209"/>
      <c r="HA24" s="209"/>
      <c r="HB24" s="209"/>
      <c r="HC24" s="209"/>
      <c r="HD24" s="209"/>
      <c r="HE24" s="209"/>
      <c r="HF24" s="209"/>
      <c r="HG24" s="209"/>
      <c r="HH24" s="209"/>
      <c r="HI24" s="209"/>
      <c r="HJ24" s="209"/>
      <c r="HK24" s="209"/>
      <c r="HL24" s="209"/>
      <c r="HM24" s="209"/>
      <c r="HN24" s="209"/>
    </row>
    <row r="25" spans="1:222" ht="55.05" customHeight="1" thickBot="1" x14ac:dyDescent="0.35">
      <c r="A25" s="202"/>
      <c r="B25" s="224"/>
      <c r="C25" s="203" t="s">
        <v>215</v>
      </c>
      <c r="D25" s="203" t="s">
        <v>215</v>
      </c>
      <c r="E25" s="203" t="s">
        <v>215</v>
      </c>
      <c r="F25" s="203" t="s">
        <v>215</v>
      </c>
      <c r="G25" s="203" t="s">
        <v>215</v>
      </c>
      <c r="H25" s="203" t="s">
        <v>215</v>
      </c>
      <c r="I25" s="203" t="s">
        <v>215</v>
      </c>
      <c r="J25" s="203" t="s">
        <v>215</v>
      </c>
      <c r="K25" s="203" t="s">
        <v>215</v>
      </c>
      <c r="L25" s="203" t="s">
        <v>215</v>
      </c>
      <c r="M25" s="203" t="s">
        <v>215</v>
      </c>
      <c r="N25" s="203" t="s">
        <v>215</v>
      </c>
      <c r="O25" s="203" t="s">
        <v>215</v>
      </c>
      <c r="P25" s="203" t="s">
        <v>215</v>
      </c>
      <c r="Q25" s="203" t="s">
        <v>215</v>
      </c>
      <c r="R25" s="203" t="s">
        <v>215</v>
      </c>
      <c r="S25" s="203" t="s">
        <v>215</v>
      </c>
      <c r="T25" s="203" t="s">
        <v>215</v>
      </c>
      <c r="U25" s="203" t="s">
        <v>215</v>
      </c>
      <c r="V25" s="203" t="s">
        <v>215</v>
      </c>
      <c r="W25" s="203" t="s">
        <v>215</v>
      </c>
      <c r="X25" s="203" t="s">
        <v>215</v>
      </c>
      <c r="Y25" s="203" t="s">
        <v>215</v>
      </c>
      <c r="Z25" s="203" t="s">
        <v>215</v>
      </c>
      <c r="AA25" s="203" t="s">
        <v>215</v>
      </c>
      <c r="AB25" s="203" t="s">
        <v>215</v>
      </c>
      <c r="AC25" s="203" t="s">
        <v>215</v>
      </c>
      <c r="AD25" s="203" t="s">
        <v>215</v>
      </c>
      <c r="AE25" s="203" t="s">
        <v>215</v>
      </c>
      <c r="AF25" s="203" t="s">
        <v>215</v>
      </c>
      <c r="AG25" s="203" t="s">
        <v>215</v>
      </c>
      <c r="AH25" s="203" t="s">
        <v>215</v>
      </c>
      <c r="AI25" s="203" t="s">
        <v>215</v>
      </c>
      <c r="AJ25" s="203" t="s">
        <v>215</v>
      </c>
      <c r="AK25" s="203" t="s">
        <v>215</v>
      </c>
      <c r="AL25" s="203" t="s">
        <v>215</v>
      </c>
      <c r="AM25" s="203" t="s">
        <v>215</v>
      </c>
      <c r="AN25" s="203" t="s">
        <v>215</v>
      </c>
      <c r="AO25" s="203" t="s">
        <v>215</v>
      </c>
      <c r="AP25" s="203" t="s">
        <v>215</v>
      </c>
      <c r="AQ25" s="203" t="s">
        <v>215</v>
      </c>
      <c r="AR25" s="203" t="s">
        <v>215</v>
      </c>
      <c r="AS25" s="203" t="s">
        <v>215</v>
      </c>
      <c r="AT25" s="203" t="s">
        <v>215</v>
      </c>
      <c r="AU25" s="203" t="s">
        <v>215</v>
      </c>
      <c r="AV25" s="203" t="s">
        <v>215</v>
      </c>
      <c r="AW25" s="203" t="s">
        <v>215</v>
      </c>
      <c r="AX25" s="203" t="s">
        <v>215</v>
      </c>
      <c r="AY25" s="203" t="s">
        <v>215</v>
      </c>
      <c r="AZ25" s="203" t="s">
        <v>215</v>
      </c>
      <c r="BA25" s="203" t="s">
        <v>215</v>
      </c>
      <c r="BB25" s="203" t="s">
        <v>215</v>
      </c>
      <c r="BC25" s="203" t="s">
        <v>215</v>
      </c>
      <c r="BD25" s="203" t="s">
        <v>215</v>
      </c>
      <c r="BE25" s="203" t="s">
        <v>215</v>
      </c>
      <c r="BF25" s="203" t="s">
        <v>215</v>
      </c>
      <c r="BG25" s="203" t="s">
        <v>215</v>
      </c>
      <c r="BH25" s="203" t="s">
        <v>215</v>
      </c>
      <c r="BI25" s="203" t="s">
        <v>215</v>
      </c>
      <c r="BJ25" s="203" t="s">
        <v>215</v>
      </c>
      <c r="BK25" s="203" t="s">
        <v>215</v>
      </c>
      <c r="BL25" s="203" t="s">
        <v>215</v>
      </c>
      <c r="BM25" s="203" t="s">
        <v>215</v>
      </c>
      <c r="BN25" s="203" t="s">
        <v>215</v>
      </c>
      <c r="BO25" s="203" t="s">
        <v>215</v>
      </c>
      <c r="BP25" s="203" t="s">
        <v>215</v>
      </c>
      <c r="BQ25" s="203" t="s">
        <v>215</v>
      </c>
      <c r="BR25" s="203" t="s">
        <v>215</v>
      </c>
      <c r="BS25" s="203" t="s">
        <v>215</v>
      </c>
      <c r="BT25" s="203" t="s">
        <v>215</v>
      </c>
      <c r="BU25" s="203" t="s">
        <v>215</v>
      </c>
      <c r="BV25" s="203" t="s">
        <v>215</v>
      </c>
      <c r="BW25" s="203" t="s">
        <v>215</v>
      </c>
      <c r="BX25" s="203" t="s">
        <v>215</v>
      </c>
      <c r="BY25" s="203" t="s">
        <v>215</v>
      </c>
      <c r="BZ25" s="203" t="s">
        <v>215</v>
      </c>
      <c r="CA25" s="203" t="s">
        <v>215</v>
      </c>
      <c r="CB25" s="203" t="s">
        <v>215</v>
      </c>
      <c r="CC25" s="203" t="s">
        <v>215</v>
      </c>
      <c r="CD25" s="203" t="s">
        <v>215</v>
      </c>
      <c r="CE25" s="203" t="s">
        <v>215</v>
      </c>
      <c r="CF25" s="203" t="s">
        <v>215</v>
      </c>
      <c r="CG25" s="203" t="s">
        <v>215</v>
      </c>
      <c r="CH25" s="203" t="s">
        <v>215</v>
      </c>
      <c r="CI25" s="203" t="s">
        <v>215</v>
      </c>
      <c r="CJ25" s="203" t="s">
        <v>215</v>
      </c>
      <c r="CK25" s="203" t="s">
        <v>215</v>
      </c>
      <c r="CL25" s="203" t="s">
        <v>215</v>
      </c>
      <c r="CM25" s="203" t="s">
        <v>215</v>
      </c>
      <c r="CN25" s="203" t="s">
        <v>215</v>
      </c>
      <c r="CO25" s="203"/>
      <c r="CP25" s="203"/>
      <c r="CQ25" s="203"/>
      <c r="CR25" s="203"/>
      <c r="CS25" s="203"/>
      <c r="CT25" s="203"/>
      <c r="CU25" s="203"/>
      <c r="CV25" s="203"/>
      <c r="CW25" s="203"/>
      <c r="CX25" s="203"/>
      <c r="CY25" s="203"/>
      <c r="CZ25" s="203"/>
      <c r="DA25" s="203"/>
      <c r="DB25" s="203"/>
      <c r="DC25" s="203"/>
      <c r="DD25" s="203"/>
      <c r="DE25" s="203"/>
      <c r="DF25" s="203"/>
      <c r="DG25" s="203"/>
      <c r="DH25" s="203"/>
      <c r="DI25" s="203"/>
      <c r="DJ25" s="203"/>
      <c r="DK25" s="203"/>
      <c r="DL25" s="203"/>
      <c r="DM25" s="203"/>
      <c r="DN25" s="203"/>
      <c r="DO25" s="203"/>
      <c r="DP25" s="203"/>
      <c r="DQ25" s="203"/>
      <c r="DR25" s="203"/>
      <c r="DS25" s="203"/>
      <c r="DT25" s="203"/>
      <c r="DU25" s="203"/>
      <c r="DV25" s="203"/>
      <c r="DW25" s="203"/>
      <c r="DX25" s="203"/>
      <c r="DY25" s="203"/>
      <c r="DZ25" s="203"/>
      <c r="EA25" s="203"/>
      <c r="EB25" s="203"/>
      <c r="EC25" s="203"/>
      <c r="ED25" s="203"/>
      <c r="EE25" s="203"/>
      <c r="EF25" s="203"/>
      <c r="EG25" s="203"/>
      <c r="EH25" s="203"/>
      <c r="EI25" s="203"/>
      <c r="EJ25" s="203"/>
      <c r="EK25" s="203"/>
      <c r="EL25" s="203"/>
      <c r="EM25" s="203"/>
      <c r="EN25" s="203"/>
      <c r="EO25" s="203"/>
      <c r="EP25" s="203"/>
      <c r="EQ25" s="203"/>
      <c r="ER25" s="203"/>
      <c r="ES25" s="203"/>
      <c r="ET25" s="203"/>
      <c r="EU25" s="203"/>
      <c r="EV25" s="203"/>
      <c r="EW25" s="203"/>
      <c r="EX25" s="203"/>
      <c r="EY25" s="203"/>
      <c r="EZ25" s="203"/>
      <c r="FA25" s="203"/>
      <c r="FB25" s="203"/>
      <c r="FC25" s="203"/>
      <c r="FD25" s="203"/>
      <c r="FE25" s="203"/>
      <c r="FF25" s="203"/>
      <c r="FG25" s="203"/>
      <c r="FH25" s="203"/>
      <c r="FI25" s="203"/>
      <c r="FJ25" s="203"/>
      <c r="FK25" s="203"/>
      <c r="FL25" s="203"/>
      <c r="FM25" s="203"/>
      <c r="FN25" s="203"/>
      <c r="FO25" s="203"/>
      <c r="FP25" s="203"/>
      <c r="FQ25" s="203"/>
      <c r="FR25" s="203"/>
      <c r="FS25" s="203"/>
      <c r="FT25" s="203"/>
      <c r="FU25" s="203"/>
      <c r="FV25" s="203"/>
      <c r="FW25" s="203"/>
      <c r="FX25" s="203"/>
      <c r="FY25" s="203"/>
      <c r="FZ25" s="203"/>
      <c r="GA25" s="203"/>
      <c r="GB25" s="203"/>
      <c r="GC25" s="203"/>
      <c r="GD25" s="203"/>
      <c r="GE25" s="203"/>
      <c r="GF25" s="203"/>
      <c r="GG25" s="203"/>
      <c r="GH25" s="203"/>
      <c r="GI25" s="203"/>
      <c r="GJ25" s="203"/>
      <c r="GK25" s="203"/>
      <c r="GL25" s="203"/>
      <c r="GM25" s="203"/>
      <c r="GN25" s="203"/>
      <c r="GO25" s="203"/>
      <c r="GP25" s="203"/>
      <c r="GQ25" s="203"/>
      <c r="GR25" s="203"/>
      <c r="GS25" s="203"/>
      <c r="GT25" s="203"/>
      <c r="GU25" s="203"/>
      <c r="GV25" s="203"/>
      <c r="GW25" s="203"/>
      <c r="GX25" s="203"/>
      <c r="GY25" s="203"/>
      <c r="GZ25" s="203"/>
      <c r="HA25" s="203"/>
      <c r="HB25" s="203"/>
      <c r="HC25" s="203"/>
      <c r="HD25" s="203"/>
      <c r="HE25" s="203"/>
      <c r="HF25" s="203"/>
      <c r="HG25" s="203"/>
      <c r="HH25" s="203"/>
      <c r="HI25" s="203"/>
      <c r="HJ25" s="203"/>
      <c r="HK25" s="203"/>
      <c r="HL25" s="203"/>
      <c r="HM25" s="203"/>
      <c r="HN25" s="203"/>
    </row>
    <row r="26" spans="1:222" ht="13.8" thickBot="1" x14ac:dyDescent="0.35">
      <c r="A26" s="205"/>
      <c r="B26" s="205"/>
    </row>
    <row r="27" spans="1:222" ht="55.05" customHeight="1" thickBot="1" x14ac:dyDescent="0.35">
      <c r="A27" s="202">
        <v>2.1</v>
      </c>
      <c r="B27" s="206" t="s">
        <v>17</v>
      </c>
      <c r="C27" s="203" t="s">
        <v>215</v>
      </c>
      <c r="D27" s="203" t="s">
        <v>215</v>
      </c>
      <c r="E27" s="203" t="s">
        <v>215</v>
      </c>
      <c r="F27" s="203" t="s">
        <v>215</v>
      </c>
      <c r="G27" s="203" t="s">
        <v>215</v>
      </c>
      <c r="H27" s="203" t="s">
        <v>215</v>
      </c>
      <c r="I27" s="203" t="s">
        <v>215</v>
      </c>
      <c r="J27" s="203" t="s">
        <v>215</v>
      </c>
      <c r="K27" s="203" t="s">
        <v>215</v>
      </c>
      <c r="L27" s="203" t="s">
        <v>215</v>
      </c>
      <c r="M27" s="203" t="s">
        <v>215</v>
      </c>
      <c r="N27" s="203" t="s">
        <v>215</v>
      </c>
      <c r="O27" s="203" t="s">
        <v>215</v>
      </c>
      <c r="P27" s="203" t="s">
        <v>215</v>
      </c>
      <c r="Q27" s="203" t="s">
        <v>215</v>
      </c>
      <c r="R27" s="203" t="s">
        <v>215</v>
      </c>
      <c r="S27" s="203" t="s">
        <v>215</v>
      </c>
      <c r="T27" s="203" t="s">
        <v>215</v>
      </c>
      <c r="U27" s="203" t="s">
        <v>215</v>
      </c>
      <c r="V27" s="203" t="s">
        <v>215</v>
      </c>
      <c r="W27" s="203" t="s">
        <v>215</v>
      </c>
      <c r="X27" s="203" t="s">
        <v>215</v>
      </c>
      <c r="Y27" s="203" t="s">
        <v>215</v>
      </c>
      <c r="Z27" s="203" t="s">
        <v>215</v>
      </c>
      <c r="AA27" s="203" t="s">
        <v>215</v>
      </c>
      <c r="AB27" s="203" t="s">
        <v>215</v>
      </c>
      <c r="AC27" s="203" t="s">
        <v>215</v>
      </c>
      <c r="AD27" s="203" t="s">
        <v>215</v>
      </c>
      <c r="AE27" s="203" t="s">
        <v>215</v>
      </c>
      <c r="AF27" s="203" t="s">
        <v>215</v>
      </c>
      <c r="AG27" s="203" t="s">
        <v>215</v>
      </c>
      <c r="AH27" s="203" t="s">
        <v>215</v>
      </c>
      <c r="AI27" s="203" t="s">
        <v>215</v>
      </c>
      <c r="AJ27" s="203" t="s">
        <v>215</v>
      </c>
      <c r="AK27" s="203" t="s">
        <v>215</v>
      </c>
      <c r="AL27" s="203" t="s">
        <v>215</v>
      </c>
      <c r="AM27" s="203" t="s">
        <v>215</v>
      </c>
      <c r="AN27" s="203" t="s">
        <v>215</v>
      </c>
      <c r="AO27" s="203" t="s">
        <v>215</v>
      </c>
      <c r="AP27" s="203" t="s">
        <v>215</v>
      </c>
      <c r="AQ27" s="203" t="s">
        <v>215</v>
      </c>
      <c r="AR27" s="203" t="s">
        <v>215</v>
      </c>
      <c r="AS27" s="203" t="s">
        <v>215</v>
      </c>
      <c r="AT27" s="203" t="s">
        <v>215</v>
      </c>
      <c r="AU27" s="203" t="s">
        <v>215</v>
      </c>
      <c r="AV27" s="203" t="s">
        <v>215</v>
      </c>
      <c r="AW27" s="203" t="s">
        <v>215</v>
      </c>
      <c r="AX27" s="203" t="s">
        <v>215</v>
      </c>
      <c r="AY27" s="203" t="s">
        <v>215</v>
      </c>
      <c r="AZ27" s="203" t="s">
        <v>215</v>
      </c>
      <c r="BA27" s="203" t="s">
        <v>215</v>
      </c>
      <c r="BB27" s="203" t="s">
        <v>215</v>
      </c>
      <c r="BC27" s="203" t="s">
        <v>215</v>
      </c>
      <c r="BD27" s="203" t="s">
        <v>215</v>
      </c>
      <c r="BE27" s="203" t="s">
        <v>215</v>
      </c>
      <c r="BF27" s="203" t="s">
        <v>215</v>
      </c>
      <c r="BG27" s="203" t="s">
        <v>215</v>
      </c>
      <c r="BH27" s="203" t="s">
        <v>215</v>
      </c>
      <c r="BI27" s="203" t="s">
        <v>215</v>
      </c>
      <c r="BJ27" s="203" t="s">
        <v>215</v>
      </c>
      <c r="BK27" s="203" t="s">
        <v>215</v>
      </c>
      <c r="BL27" s="203" t="s">
        <v>215</v>
      </c>
      <c r="BM27" s="203" t="s">
        <v>215</v>
      </c>
      <c r="BN27" s="203" t="s">
        <v>215</v>
      </c>
      <c r="BO27" s="203" t="s">
        <v>215</v>
      </c>
      <c r="BP27" s="203" t="s">
        <v>215</v>
      </c>
      <c r="BQ27" s="203" t="s">
        <v>215</v>
      </c>
      <c r="BR27" s="203" t="s">
        <v>215</v>
      </c>
      <c r="BS27" s="203" t="s">
        <v>215</v>
      </c>
      <c r="BT27" s="203" t="s">
        <v>215</v>
      </c>
      <c r="BU27" s="203" t="s">
        <v>215</v>
      </c>
      <c r="BV27" s="203" t="s">
        <v>215</v>
      </c>
      <c r="BW27" s="203" t="s">
        <v>215</v>
      </c>
      <c r="BX27" s="203" t="s">
        <v>215</v>
      </c>
      <c r="BY27" s="203" t="s">
        <v>215</v>
      </c>
      <c r="BZ27" s="203" t="s">
        <v>215</v>
      </c>
      <c r="CA27" s="203" t="s">
        <v>215</v>
      </c>
      <c r="CB27" s="203" t="s">
        <v>215</v>
      </c>
      <c r="CC27" s="203" t="s">
        <v>215</v>
      </c>
      <c r="CD27" s="203" t="s">
        <v>215</v>
      </c>
      <c r="CE27" s="203" t="s">
        <v>215</v>
      </c>
      <c r="CF27" s="203" t="s">
        <v>215</v>
      </c>
      <c r="CG27" s="203" t="s">
        <v>215</v>
      </c>
      <c r="CH27" s="203" t="s">
        <v>215</v>
      </c>
      <c r="CI27" s="203" t="s">
        <v>215</v>
      </c>
      <c r="CJ27" s="203" t="s">
        <v>215</v>
      </c>
      <c r="CK27" s="203" t="s">
        <v>215</v>
      </c>
      <c r="CL27" s="203" t="s">
        <v>215</v>
      </c>
      <c r="CM27" s="203" t="s">
        <v>215</v>
      </c>
      <c r="CN27" s="203" t="s">
        <v>215</v>
      </c>
      <c r="CO27" s="203"/>
      <c r="CP27" s="203"/>
      <c r="CQ27" s="203"/>
      <c r="CR27" s="203"/>
      <c r="CS27" s="203"/>
      <c r="CT27" s="203"/>
      <c r="CU27" s="203"/>
      <c r="CV27" s="203"/>
      <c r="CW27" s="203"/>
      <c r="CX27" s="203"/>
      <c r="CY27" s="203"/>
      <c r="CZ27" s="203"/>
      <c r="DA27" s="203"/>
      <c r="DB27" s="203"/>
      <c r="DC27" s="203"/>
      <c r="DD27" s="203"/>
      <c r="DE27" s="203"/>
      <c r="DF27" s="203"/>
      <c r="DG27" s="203"/>
      <c r="DH27" s="203"/>
      <c r="DI27" s="203"/>
      <c r="DJ27" s="203"/>
      <c r="DK27" s="203"/>
      <c r="DL27" s="203"/>
      <c r="DM27" s="203"/>
      <c r="DN27" s="203"/>
      <c r="DO27" s="203"/>
      <c r="DP27" s="203"/>
      <c r="DQ27" s="203"/>
      <c r="DR27" s="203"/>
      <c r="DS27" s="203"/>
      <c r="DT27" s="203"/>
      <c r="DU27" s="203"/>
      <c r="DV27" s="203"/>
      <c r="DW27" s="203"/>
      <c r="DX27" s="203"/>
      <c r="DY27" s="203"/>
      <c r="DZ27" s="203"/>
      <c r="EA27" s="203"/>
      <c r="EB27" s="203"/>
      <c r="EC27" s="203"/>
      <c r="ED27" s="203"/>
      <c r="EE27" s="203"/>
      <c r="EF27" s="203"/>
      <c r="EG27" s="203"/>
      <c r="EH27" s="203"/>
      <c r="EI27" s="203"/>
      <c r="EJ27" s="203"/>
      <c r="EK27" s="203"/>
      <c r="EL27" s="203"/>
      <c r="EM27" s="203"/>
      <c r="EN27" s="203"/>
      <c r="EO27" s="203"/>
      <c r="EP27" s="203"/>
      <c r="EQ27" s="203"/>
      <c r="ER27" s="203"/>
      <c r="ES27" s="203"/>
      <c r="ET27" s="203"/>
      <c r="EU27" s="203"/>
      <c r="EV27" s="203"/>
      <c r="EW27" s="203"/>
      <c r="EX27" s="203"/>
      <c r="EY27" s="203"/>
      <c r="EZ27" s="203"/>
      <c r="FA27" s="203"/>
      <c r="FB27" s="203"/>
      <c r="FC27" s="203"/>
      <c r="FD27" s="203"/>
      <c r="FE27" s="203"/>
      <c r="FF27" s="203"/>
      <c r="FG27" s="203"/>
      <c r="FH27" s="203"/>
      <c r="FI27" s="203"/>
      <c r="FJ27" s="203"/>
      <c r="FK27" s="203"/>
      <c r="FL27" s="203"/>
      <c r="FM27" s="203"/>
      <c r="FN27" s="203"/>
      <c r="FO27" s="203"/>
      <c r="FP27" s="203"/>
      <c r="FQ27" s="203"/>
      <c r="FR27" s="203"/>
      <c r="FS27" s="203"/>
      <c r="FT27" s="203"/>
      <c r="FU27" s="203"/>
      <c r="FV27" s="203"/>
      <c r="FW27" s="203"/>
      <c r="FX27" s="203"/>
      <c r="FY27" s="203"/>
      <c r="FZ27" s="203"/>
      <c r="GA27" s="203"/>
      <c r="GB27" s="203"/>
      <c r="GC27" s="203"/>
      <c r="GD27" s="203"/>
      <c r="GE27" s="203"/>
      <c r="GF27" s="203"/>
      <c r="GG27" s="203"/>
      <c r="GH27" s="203"/>
      <c r="GI27" s="203"/>
      <c r="GJ27" s="203"/>
      <c r="GK27" s="203"/>
      <c r="GL27" s="203"/>
      <c r="GM27" s="203"/>
      <c r="GN27" s="203"/>
      <c r="GO27" s="203"/>
      <c r="GP27" s="203"/>
      <c r="GQ27" s="203"/>
      <c r="GR27" s="203"/>
      <c r="GS27" s="203"/>
      <c r="GT27" s="203"/>
      <c r="GU27" s="203"/>
      <c r="GV27" s="203"/>
      <c r="GW27" s="203"/>
      <c r="GX27" s="203"/>
      <c r="GY27" s="203"/>
      <c r="GZ27" s="203"/>
      <c r="HA27" s="203"/>
      <c r="HB27" s="203"/>
      <c r="HC27" s="203"/>
      <c r="HD27" s="203"/>
      <c r="HE27" s="203"/>
      <c r="HF27" s="203"/>
      <c r="HG27" s="203"/>
      <c r="HH27" s="203"/>
      <c r="HI27" s="203"/>
      <c r="HJ27" s="203"/>
      <c r="HK27" s="203"/>
      <c r="HL27" s="203"/>
      <c r="HM27" s="203"/>
      <c r="HN27" s="203"/>
    </row>
    <row r="28" spans="1:222" ht="55.05" customHeight="1" thickBot="1" x14ac:dyDescent="0.35">
      <c r="A28" s="202">
        <v>2.2000000000000002</v>
      </c>
      <c r="B28" s="206" t="s">
        <v>18</v>
      </c>
      <c r="C28" s="203" t="s">
        <v>215</v>
      </c>
      <c r="D28" s="203" t="s">
        <v>215</v>
      </c>
      <c r="E28" s="203" t="s">
        <v>215</v>
      </c>
      <c r="F28" s="203" t="s">
        <v>215</v>
      </c>
      <c r="G28" s="203" t="s">
        <v>215</v>
      </c>
      <c r="H28" s="203" t="s">
        <v>215</v>
      </c>
      <c r="I28" s="203" t="s">
        <v>215</v>
      </c>
      <c r="J28" s="203" t="s">
        <v>215</v>
      </c>
      <c r="K28" s="203" t="s">
        <v>215</v>
      </c>
      <c r="L28" s="203" t="s">
        <v>215</v>
      </c>
      <c r="M28" s="203" t="s">
        <v>215</v>
      </c>
      <c r="N28" s="203" t="s">
        <v>215</v>
      </c>
      <c r="O28" s="203" t="s">
        <v>215</v>
      </c>
      <c r="P28" s="203" t="s">
        <v>215</v>
      </c>
      <c r="Q28" s="203" t="s">
        <v>215</v>
      </c>
      <c r="R28" s="203" t="s">
        <v>215</v>
      </c>
      <c r="S28" s="203" t="s">
        <v>215</v>
      </c>
      <c r="T28" s="203" t="s">
        <v>215</v>
      </c>
      <c r="U28" s="203" t="s">
        <v>215</v>
      </c>
      <c r="V28" s="203" t="s">
        <v>215</v>
      </c>
      <c r="W28" s="203" t="s">
        <v>215</v>
      </c>
      <c r="X28" s="203" t="s">
        <v>215</v>
      </c>
      <c r="Y28" s="203" t="s">
        <v>215</v>
      </c>
      <c r="Z28" s="203" t="s">
        <v>215</v>
      </c>
      <c r="AA28" s="203" t="s">
        <v>215</v>
      </c>
      <c r="AB28" s="203" t="s">
        <v>215</v>
      </c>
      <c r="AC28" s="203" t="s">
        <v>215</v>
      </c>
      <c r="AD28" s="203" t="s">
        <v>215</v>
      </c>
      <c r="AE28" s="203" t="s">
        <v>215</v>
      </c>
      <c r="AF28" s="203" t="s">
        <v>215</v>
      </c>
      <c r="AG28" s="203" t="s">
        <v>215</v>
      </c>
      <c r="AH28" s="203" t="s">
        <v>215</v>
      </c>
      <c r="AI28" s="203" t="s">
        <v>215</v>
      </c>
      <c r="AJ28" s="203" t="s">
        <v>215</v>
      </c>
      <c r="AK28" s="203" t="s">
        <v>215</v>
      </c>
      <c r="AL28" s="203" t="s">
        <v>215</v>
      </c>
      <c r="AM28" s="203" t="s">
        <v>215</v>
      </c>
      <c r="AN28" s="203" t="s">
        <v>215</v>
      </c>
      <c r="AO28" s="203" t="s">
        <v>215</v>
      </c>
      <c r="AP28" s="203" t="s">
        <v>215</v>
      </c>
      <c r="AQ28" s="203" t="s">
        <v>215</v>
      </c>
      <c r="AR28" s="203" t="s">
        <v>215</v>
      </c>
      <c r="AS28" s="203" t="s">
        <v>215</v>
      </c>
      <c r="AT28" s="203" t="s">
        <v>215</v>
      </c>
      <c r="AU28" s="203" t="s">
        <v>215</v>
      </c>
      <c r="AV28" s="203" t="s">
        <v>215</v>
      </c>
      <c r="AW28" s="203" t="s">
        <v>215</v>
      </c>
      <c r="AX28" s="203" t="s">
        <v>215</v>
      </c>
      <c r="AY28" s="203" t="s">
        <v>215</v>
      </c>
      <c r="AZ28" s="203" t="s">
        <v>215</v>
      </c>
      <c r="BA28" s="203" t="s">
        <v>215</v>
      </c>
      <c r="BB28" s="203" t="s">
        <v>215</v>
      </c>
      <c r="BC28" s="203" t="s">
        <v>215</v>
      </c>
      <c r="BD28" s="203" t="s">
        <v>215</v>
      </c>
      <c r="BE28" s="203" t="s">
        <v>215</v>
      </c>
      <c r="BF28" s="203" t="s">
        <v>215</v>
      </c>
      <c r="BG28" s="203" t="s">
        <v>215</v>
      </c>
      <c r="BH28" s="203" t="s">
        <v>215</v>
      </c>
      <c r="BI28" s="203" t="s">
        <v>215</v>
      </c>
      <c r="BJ28" s="203" t="s">
        <v>215</v>
      </c>
      <c r="BK28" s="203" t="s">
        <v>215</v>
      </c>
      <c r="BL28" s="203" t="s">
        <v>215</v>
      </c>
      <c r="BM28" s="203" t="s">
        <v>215</v>
      </c>
      <c r="BN28" s="203" t="s">
        <v>215</v>
      </c>
      <c r="BO28" s="203" t="s">
        <v>215</v>
      </c>
      <c r="BP28" s="203" t="s">
        <v>215</v>
      </c>
      <c r="BQ28" s="203" t="s">
        <v>215</v>
      </c>
      <c r="BR28" s="203" t="s">
        <v>215</v>
      </c>
      <c r="BS28" s="203" t="s">
        <v>215</v>
      </c>
      <c r="BT28" s="203" t="s">
        <v>215</v>
      </c>
      <c r="BU28" s="203" t="s">
        <v>215</v>
      </c>
      <c r="BV28" s="203" t="s">
        <v>215</v>
      </c>
      <c r="BW28" s="203" t="s">
        <v>215</v>
      </c>
      <c r="BX28" s="203" t="s">
        <v>215</v>
      </c>
      <c r="BY28" s="203" t="s">
        <v>215</v>
      </c>
      <c r="BZ28" s="203" t="s">
        <v>215</v>
      </c>
      <c r="CA28" s="203" t="s">
        <v>215</v>
      </c>
      <c r="CB28" s="203" t="s">
        <v>215</v>
      </c>
      <c r="CC28" s="203" t="s">
        <v>215</v>
      </c>
      <c r="CD28" s="203" t="s">
        <v>215</v>
      </c>
      <c r="CE28" s="203" t="s">
        <v>215</v>
      </c>
      <c r="CF28" s="203" t="s">
        <v>215</v>
      </c>
      <c r="CG28" s="203" t="s">
        <v>215</v>
      </c>
      <c r="CH28" s="203" t="s">
        <v>215</v>
      </c>
      <c r="CI28" s="203" t="s">
        <v>215</v>
      </c>
      <c r="CJ28" s="203" t="s">
        <v>215</v>
      </c>
      <c r="CK28" s="203" t="s">
        <v>215</v>
      </c>
      <c r="CL28" s="203" t="s">
        <v>215</v>
      </c>
      <c r="CM28" s="203" t="s">
        <v>215</v>
      </c>
      <c r="CN28" s="203" t="s">
        <v>215</v>
      </c>
      <c r="CO28" s="203"/>
      <c r="CP28" s="203"/>
      <c r="CQ28" s="203"/>
      <c r="CR28" s="203"/>
      <c r="CS28" s="203"/>
      <c r="CT28" s="203"/>
      <c r="CU28" s="203"/>
      <c r="CV28" s="203"/>
      <c r="CW28" s="203"/>
      <c r="CX28" s="203"/>
      <c r="CY28" s="203"/>
      <c r="CZ28" s="203"/>
      <c r="DA28" s="203"/>
      <c r="DB28" s="203"/>
      <c r="DC28" s="203"/>
      <c r="DD28" s="203"/>
      <c r="DE28" s="203"/>
      <c r="DF28" s="203"/>
      <c r="DG28" s="203"/>
      <c r="DH28" s="203"/>
      <c r="DI28" s="203"/>
      <c r="DJ28" s="203"/>
      <c r="DK28" s="203"/>
      <c r="DL28" s="203"/>
      <c r="DM28" s="203"/>
      <c r="DN28" s="203"/>
      <c r="DO28" s="203"/>
      <c r="DP28" s="203"/>
      <c r="DQ28" s="203"/>
      <c r="DR28" s="203"/>
      <c r="DS28" s="203"/>
      <c r="DT28" s="203"/>
      <c r="DU28" s="203"/>
      <c r="DV28" s="203"/>
      <c r="DW28" s="203"/>
      <c r="DX28" s="203"/>
      <c r="DY28" s="203"/>
      <c r="DZ28" s="203"/>
      <c r="EA28" s="203"/>
      <c r="EB28" s="203"/>
      <c r="EC28" s="203"/>
      <c r="ED28" s="203"/>
      <c r="EE28" s="203"/>
      <c r="EF28" s="203"/>
      <c r="EG28" s="203"/>
      <c r="EH28" s="203"/>
      <c r="EI28" s="203"/>
      <c r="EJ28" s="203"/>
      <c r="EK28" s="203"/>
      <c r="EL28" s="203"/>
      <c r="EM28" s="203"/>
      <c r="EN28" s="203"/>
      <c r="EO28" s="203"/>
      <c r="EP28" s="203"/>
      <c r="EQ28" s="203"/>
      <c r="ER28" s="203"/>
      <c r="ES28" s="203"/>
      <c r="ET28" s="203"/>
      <c r="EU28" s="203"/>
      <c r="EV28" s="203"/>
      <c r="EW28" s="203"/>
      <c r="EX28" s="203"/>
      <c r="EY28" s="203"/>
      <c r="EZ28" s="203"/>
      <c r="FA28" s="203"/>
      <c r="FB28" s="203"/>
      <c r="FC28" s="203"/>
      <c r="FD28" s="203"/>
      <c r="FE28" s="203"/>
      <c r="FF28" s="203"/>
      <c r="FG28" s="203"/>
      <c r="FH28" s="203"/>
      <c r="FI28" s="203"/>
      <c r="FJ28" s="203"/>
      <c r="FK28" s="203"/>
      <c r="FL28" s="203"/>
      <c r="FM28" s="203"/>
      <c r="FN28" s="203"/>
      <c r="FO28" s="203"/>
      <c r="FP28" s="203"/>
      <c r="FQ28" s="203"/>
      <c r="FR28" s="203"/>
      <c r="FS28" s="203"/>
      <c r="FT28" s="203"/>
      <c r="FU28" s="203"/>
      <c r="FV28" s="203"/>
      <c r="FW28" s="203"/>
      <c r="FX28" s="203"/>
      <c r="FY28" s="203"/>
      <c r="FZ28" s="203"/>
      <c r="GA28" s="203"/>
      <c r="GB28" s="203"/>
      <c r="GC28" s="203"/>
      <c r="GD28" s="203"/>
      <c r="GE28" s="203"/>
      <c r="GF28" s="203"/>
      <c r="GG28" s="203"/>
      <c r="GH28" s="203"/>
      <c r="GI28" s="203"/>
      <c r="GJ28" s="203"/>
      <c r="GK28" s="203"/>
      <c r="GL28" s="203"/>
      <c r="GM28" s="203"/>
      <c r="GN28" s="203"/>
      <c r="GO28" s="203"/>
      <c r="GP28" s="203"/>
      <c r="GQ28" s="203"/>
      <c r="GR28" s="203"/>
      <c r="GS28" s="203"/>
      <c r="GT28" s="203"/>
      <c r="GU28" s="203"/>
      <c r="GV28" s="203"/>
      <c r="GW28" s="203"/>
      <c r="GX28" s="203"/>
      <c r="GY28" s="203"/>
      <c r="GZ28" s="203"/>
      <c r="HA28" s="203"/>
      <c r="HB28" s="203"/>
      <c r="HC28" s="203"/>
      <c r="HD28" s="203"/>
      <c r="HE28" s="203"/>
      <c r="HF28" s="203"/>
      <c r="HG28" s="203"/>
      <c r="HH28" s="203"/>
      <c r="HI28" s="203"/>
      <c r="HJ28" s="203"/>
      <c r="HK28" s="203"/>
      <c r="HL28" s="203"/>
      <c r="HM28" s="203"/>
      <c r="HN28" s="203"/>
    </row>
    <row r="29" spans="1:222" ht="55.05" customHeight="1" thickBot="1" x14ac:dyDescent="0.35">
      <c r="A29" s="202">
        <v>2.2999999999999998</v>
      </c>
      <c r="B29" s="206" t="s">
        <v>19</v>
      </c>
      <c r="C29" s="203" t="s">
        <v>215</v>
      </c>
      <c r="D29" s="203" t="s">
        <v>215</v>
      </c>
      <c r="E29" s="203" t="s">
        <v>215</v>
      </c>
      <c r="F29" s="203" t="s">
        <v>215</v>
      </c>
      <c r="G29" s="203" t="s">
        <v>215</v>
      </c>
      <c r="H29" s="203" t="s">
        <v>215</v>
      </c>
      <c r="I29" s="203" t="s">
        <v>215</v>
      </c>
      <c r="J29" s="203" t="s">
        <v>215</v>
      </c>
      <c r="K29" s="203" t="s">
        <v>215</v>
      </c>
      <c r="L29" s="203" t="s">
        <v>215</v>
      </c>
      <c r="M29" s="203" t="s">
        <v>215</v>
      </c>
      <c r="N29" s="203" t="s">
        <v>215</v>
      </c>
      <c r="O29" s="203" t="s">
        <v>215</v>
      </c>
      <c r="P29" s="203" t="s">
        <v>215</v>
      </c>
      <c r="Q29" s="203" t="s">
        <v>215</v>
      </c>
      <c r="R29" s="203" t="s">
        <v>215</v>
      </c>
      <c r="S29" s="203" t="s">
        <v>215</v>
      </c>
      <c r="T29" s="203" t="s">
        <v>215</v>
      </c>
      <c r="U29" s="203" t="s">
        <v>215</v>
      </c>
      <c r="V29" s="203" t="s">
        <v>215</v>
      </c>
      <c r="W29" s="203" t="s">
        <v>215</v>
      </c>
      <c r="X29" s="203" t="s">
        <v>215</v>
      </c>
      <c r="Y29" s="203" t="s">
        <v>215</v>
      </c>
      <c r="Z29" s="203" t="s">
        <v>215</v>
      </c>
      <c r="AA29" s="203" t="s">
        <v>215</v>
      </c>
      <c r="AB29" s="203" t="s">
        <v>215</v>
      </c>
      <c r="AC29" s="203" t="s">
        <v>215</v>
      </c>
      <c r="AD29" s="203" t="s">
        <v>215</v>
      </c>
      <c r="AE29" s="203" t="s">
        <v>215</v>
      </c>
      <c r="AF29" s="203" t="s">
        <v>215</v>
      </c>
      <c r="AG29" s="203" t="s">
        <v>215</v>
      </c>
      <c r="AH29" s="203" t="s">
        <v>215</v>
      </c>
      <c r="AI29" s="203" t="s">
        <v>215</v>
      </c>
      <c r="AJ29" s="203" t="s">
        <v>215</v>
      </c>
      <c r="AK29" s="203" t="s">
        <v>215</v>
      </c>
      <c r="AL29" s="203" t="s">
        <v>215</v>
      </c>
      <c r="AM29" s="203" t="s">
        <v>215</v>
      </c>
      <c r="AN29" s="203" t="s">
        <v>215</v>
      </c>
      <c r="AO29" s="203" t="s">
        <v>215</v>
      </c>
      <c r="AP29" s="203" t="s">
        <v>215</v>
      </c>
      <c r="AQ29" s="203" t="s">
        <v>215</v>
      </c>
      <c r="AR29" s="203" t="s">
        <v>215</v>
      </c>
      <c r="AS29" s="203" t="s">
        <v>215</v>
      </c>
      <c r="AT29" s="203" t="s">
        <v>215</v>
      </c>
      <c r="AU29" s="203" t="s">
        <v>215</v>
      </c>
      <c r="AV29" s="203" t="s">
        <v>215</v>
      </c>
      <c r="AW29" s="203" t="s">
        <v>215</v>
      </c>
      <c r="AX29" s="203" t="s">
        <v>215</v>
      </c>
      <c r="AY29" s="203" t="s">
        <v>215</v>
      </c>
      <c r="AZ29" s="203" t="s">
        <v>215</v>
      </c>
      <c r="BA29" s="203" t="s">
        <v>215</v>
      </c>
      <c r="BB29" s="203" t="s">
        <v>215</v>
      </c>
      <c r="BC29" s="203" t="s">
        <v>215</v>
      </c>
      <c r="BD29" s="203" t="s">
        <v>215</v>
      </c>
      <c r="BE29" s="203" t="s">
        <v>215</v>
      </c>
      <c r="BF29" s="203" t="s">
        <v>215</v>
      </c>
      <c r="BG29" s="203" t="s">
        <v>215</v>
      </c>
      <c r="BH29" s="203" t="s">
        <v>215</v>
      </c>
      <c r="BI29" s="203" t="s">
        <v>215</v>
      </c>
      <c r="BJ29" s="203" t="s">
        <v>215</v>
      </c>
      <c r="BK29" s="203" t="s">
        <v>215</v>
      </c>
      <c r="BL29" s="203" t="s">
        <v>215</v>
      </c>
      <c r="BM29" s="203" t="s">
        <v>215</v>
      </c>
      <c r="BN29" s="203" t="s">
        <v>215</v>
      </c>
      <c r="BO29" s="203" t="s">
        <v>215</v>
      </c>
      <c r="BP29" s="203" t="s">
        <v>215</v>
      </c>
      <c r="BQ29" s="203" t="s">
        <v>215</v>
      </c>
      <c r="BR29" s="203" t="s">
        <v>215</v>
      </c>
      <c r="BS29" s="203" t="s">
        <v>215</v>
      </c>
      <c r="BT29" s="203" t="s">
        <v>215</v>
      </c>
      <c r="BU29" s="203" t="s">
        <v>215</v>
      </c>
      <c r="BV29" s="203" t="s">
        <v>215</v>
      </c>
      <c r="BW29" s="203" t="s">
        <v>215</v>
      </c>
      <c r="BX29" s="203" t="s">
        <v>215</v>
      </c>
      <c r="BY29" s="203" t="s">
        <v>215</v>
      </c>
      <c r="BZ29" s="203" t="s">
        <v>215</v>
      </c>
      <c r="CA29" s="203" t="s">
        <v>215</v>
      </c>
      <c r="CB29" s="203" t="s">
        <v>215</v>
      </c>
      <c r="CC29" s="203" t="s">
        <v>215</v>
      </c>
      <c r="CD29" s="203" t="s">
        <v>215</v>
      </c>
      <c r="CE29" s="203" t="s">
        <v>215</v>
      </c>
      <c r="CF29" s="203" t="s">
        <v>215</v>
      </c>
      <c r="CG29" s="203" t="s">
        <v>215</v>
      </c>
      <c r="CH29" s="203" t="s">
        <v>215</v>
      </c>
      <c r="CI29" s="203" t="s">
        <v>215</v>
      </c>
      <c r="CJ29" s="203" t="s">
        <v>215</v>
      </c>
      <c r="CK29" s="203" t="s">
        <v>215</v>
      </c>
      <c r="CL29" s="203" t="s">
        <v>215</v>
      </c>
      <c r="CM29" s="203" t="s">
        <v>215</v>
      </c>
      <c r="CN29" s="203" t="s">
        <v>215</v>
      </c>
      <c r="CO29" s="203"/>
      <c r="CP29" s="203"/>
      <c r="CQ29" s="203"/>
      <c r="CR29" s="203"/>
      <c r="CS29" s="203"/>
      <c r="CT29" s="203"/>
      <c r="CU29" s="203"/>
      <c r="CV29" s="203"/>
      <c r="CW29" s="203"/>
      <c r="CX29" s="203"/>
      <c r="CY29" s="203"/>
      <c r="CZ29" s="203"/>
      <c r="DA29" s="203"/>
      <c r="DB29" s="203"/>
      <c r="DC29" s="203"/>
      <c r="DD29" s="203"/>
      <c r="DE29" s="203"/>
      <c r="DF29" s="203"/>
      <c r="DG29" s="203"/>
      <c r="DH29" s="203"/>
      <c r="DI29" s="203"/>
      <c r="DJ29" s="203"/>
      <c r="DK29" s="203"/>
      <c r="DL29" s="203"/>
      <c r="DM29" s="203"/>
      <c r="DN29" s="203"/>
      <c r="DO29" s="203"/>
      <c r="DP29" s="203"/>
      <c r="DQ29" s="203"/>
      <c r="DR29" s="203"/>
      <c r="DS29" s="203"/>
      <c r="DT29" s="203"/>
      <c r="DU29" s="203"/>
      <c r="DV29" s="203"/>
      <c r="DW29" s="203"/>
      <c r="DX29" s="203"/>
      <c r="DY29" s="203"/>
      <c r="DZ29" s="203"/>
      <c r="EA29" s="203"/>
      <c r="EB29" s="203"/>
      <c r="EC29" s="203"/>
      <c r="ED29" s="203"/>
      <c r="EE29" s="203"/>
      <c r="EF29" s="203"/>
      <c r="EG29" s="203"/>
      <c r="EH29" s="203"/>
      <c r="EI29" s="203"/>
      <c r="EJ29" s="203"/>
      <c r="EK29" s="203"/>
      <c r="EL29" s="203"/>
      <c r="EM29" s="203"/>
      <c r="EN29" s="203"/>
      <c r="EO29" s="203"/>
      <c r="EP29" s="203"/>
      <c r="EQ29" s="203"/>
      <c r="ER29" s="203"/>
      <c r="ES29" s="203"/>
      <c r="ET29" s="203"/>
      <c r="EU29" s="203"/>
      <c r="EV29" s="203"/>
      <c r="EW29" s="203"/>
      <c r="EX29" s="203"/>
      <c r="EY29" s="203"/>
      <c r="EZ29" s="203"/>
      <c r="FA29" s="203"/>
      <c r="FB29" s="203"/>
      <c r="FC29" s="203"/>
      <c r="FD29" s="203"/>
      <c r="FE29" s="203"/>
      <c r="FF29" s="203"/>
      <c r="FG29" s="203"/>
      <c r="FH29" s="203"/>
      <c r="FI29" s="203"/>
      <c r="FJ29" s="203"/>
      <c r="FK29" s="203"/>
      <c r="FL29" s="203"/>
      <c r="FM29" s="203"/>
      <c r="FN29" s="203"/>
      <c r="FO29" s="203"/>
      <c r="FP29" s="203"/>
      <c r="FQ29" s="203"/>
      <c r="FR29" s="203"/>
      <c r="FS29" s="203"/>
      <c r="FT29" s="203"/>
      <c r="FU29" s="203"/>
      <c r="FV29" s="203"/>
      <c r="FW29" s="203"/>
      <c r="FX29" s="203"/>
      <c r="FY29" s="203"/>
      <c r="FZ29" s="203"/>
      <c r="GA29" s="203"/>
      <c r="GB29" s="203"/>
      <c r="GC29" s="203"/>
      <c r="GD29" s="203"/>
      <c r="GE29" s="203"/>
      <c r="GF29" s="203"/>
      <c r="GG29" s="203"/>
      <c r="GH29" s="203"/>
      <c r="GI29" s="203"/>
      <c r="GJ29" s="203"/>
      <c r="GK29" s="203"/>
      <c r="GL29" s="203"/>
      <c r="GM29" s="203"/>
      <c r="GN29" s="203"/>
      <c r="GO29" s="203"/>
      <c r="GP29" s="203"/>
      <c r="GQ29" s="203"/>
      <c r="GR29" s="203"/>
      <c r="GS29" s="203"/>
      <c r="GT29" s="203"/>
      <c r="GU29" s="203"/>
      <c r="GV29" s="203"/>
      <c r="GW29" s="203"/>
      <c r="GX29" s="203"/>
      <c r="GY29" s="203"/>
      <c r="GZ29" s="203"/>
      <c r="HA29" s="203"/>
      <c r="HB29" s="203"/>
      <c r="HC29" s="203"/>
      <c r="HD29" s="203"/>
      <c r="HE29" s="203"/>
      <c r="HF29" s="203"/>
      <c r="HG29" s="203"/>
      <c r="HH29" s="203"/>
      <c r="HI29" s="203"/>
      <c r="HJ29" s="203"/>
      <c r="HK29" s="203"/>
      <c r="HL29" s="203"/>
      <c r="HM29" s="203"/>
      <c r="HN29" s="203"/>
    </row>
    <row r="30" spans="1:222" ht="66.599999999999994" thickBot="1" x14ac:dyDescent="0.35">
      <c r="A30" s="202">
        <v>2.4</v>
      </c>
      <c r="B30" s="206" t="s">
        <v>20</v>
      </c>
      <c r="C30" s="203" t="s">
        <v>215</v>
      </c>
      <c r="D30" s="203" t="s">
        <v>215</v>
      </c>
      <c r="E30" s="203" t="s">
        <v>215</v>
      </c>
      <c r="F30" s="203" t="s">
        <v>215</v>
      </c>
      <c r="G30" s="203" t="s">
        <v>215</v>
      </c>
      <c r="H30" s="203" t="s">
        <v>215</v>
      </c>
      <c r="I30" s="203" t="s">
        <v>215</v>
      </c>
      <c r="J30" s="203" t="s">
        <v>215</v>
      </c>
      <c r="K30" s="203" t="s">
        <v>215</v>
      </c>
      <c r="L30" s="203" t="s">
        <v>215</v>
      </c>
      <c r="M30" s="203" t="s">
        <v>215</v>
      </c>
      <c r="N30" s="203" t="s">
        <v>215</v>
      </c>
      <c r="O30" s="203" t="s">
        <v>215</v>
      </c>
      <c r="P30" s="203" t="s">
        <v>215</v>
      </c>
      <c r="Q30" s="203" t="s">
        <v>215</v>
      </c>
      <c r="R30" s="203" t="s">
        <v>215</v>
      </c>
      <c r="S30" s="203" t="s">
        <v>215</v>
      </c>
      <c r="T30" s="203" t="s">
        <v>215</v>
      </c>
      <c r="U30" s="203" t="s">
        <v>215</v>
      </c>
      <c r="V30" s="203" t="s">
        <v>215</v>
      </c>
      <c r="W30" s="203" t="s">
        <v>215</v>
      </c>
      <c r="X30" s="203" t="s">
        <v>215</v>
      </c>
      <c r="Y30" s="203" t="s">
        <v>215</v>
      </c>
      <c r="Z30" s="203" t="s">
        <v>215</v>
      </c>
      <c r="AA30" s="203" t="s">
        <v>215</v>
      </c>
      <c r="AB30" s="203" t="s">
        <v>215</v>
      </c>
      <c r="AC30" s="203" t="s">
        <v>215</v>
      </c>
      <c r="AD30" s="203" t="s">
        <v>215</v>
      </c>
      <c r="AE30" s="203" t="s">
        <v>215</v>
      </c>
      <c r="AF30" s="203" t="s">
        <v>215</v>
      </c>
      <c r="AG30" s="203" t="s">
        <v>215</v>
      </c>
      <c r="AH30" s="203" t="s">
        <v>215</v>
      </c>
      <c r="AI30" s="203" t="s">
        <v>215</v>
      </c>
      <c r="AJ30" s="203" t="s">
        <v>215</v>
      </c>
      <c r="AK30" s="203" t="s">
        <v>215</v>
      </c>
      <c r="AL30" s="203" t="s">
        <v>215</v>
      </c>
      <c r="AM30" s="203" t="s">
        <v>215</v>
      </c>
      <c r="AN30" s="203" t="s">
        <v>215</v>
      </c>
      <c r="AO30" s="203" t="s">
        <v>215</v>
      </c>
      <c r="AP30" s="203" t="s">
        <v>215</v>
      </c>
      <c r="AQ30" s="203" t="s">
        <v>215</v>
      </c>
      <c r="AR30" s="203" t="s">
        <v>215</v>
      </c>
      <c r="AS30" s="203" t="s">
        <v>215</v>
      </c>
      <c r="AT30" s="203" t="s">
        <v>215</v>
      </c>
      <c r="AU30" s="203" t="s">
        <v>215</v>
      </c>
      <c r="AV30" s="203" t="s">
        <v>215</v>
      </c>
      <c r="AW30" s="203" t="s">
        <v>215</v>
      </c>
      <c r="AX30" s="203" t="s">
        <v>215</v>
      </c>
      <c r="AY30" s="203" t="s">
        <v>215</v>
      </c>
      <c r="AZ30" s="203" t="s">
        <v>215</v>
      </c>
      <c r="BA30" s="203" t="s">
        <v>215</v>
      </c>
      <c r="BB30" s="203" t="s">
        <v>215</v>
      </c>
      <c r="BC30" s="203" t="s">
        <v>215</v>
      </c>
      <c r="BD30" s="203" t="s">
        <v>215</v>
      </c>
      <c r="BE30" s="203" t="s">
        <v>215</v>
      </c>
      <c r="BF30" s="203" t="s">
        <v>215</v>
      </c>
      <c r="BG30" s="203" t="s">
        <v>215</v>
      </c>
      <c r="BH30" s="203" t="s">
        <v>215</v>
      </c>
      <c r="BI30" s="203" t="s">
        <v>215</v>
      </c>
      <c r="BJ30" s="203" t="s">
        <v>215</v>
      </c>
      <c r="BK30" s="203" t="s">
        <v>215</v>
      </c>
      <c r="BL30" s="203" t="s">
        <v>215</v>
      </c>
      <c r="BM30" s="203" t="s">
        <v>215</v>
      </c>
      <c r="BN30" s="203" t="s">
        <v>215</v>
      </c>
      <c r="BO30" s="203" t="s">
        <v>215</v>
      </c>
      <c r="BP30" s="203" t="s">
        <v>215</v>
      </c>
      <c r="BQ30" s="203" t="s">
        <v>215</v>
      </c>
      <c r="BR30" s="203" t="s">
        <v>215</v>
      </c>
      <c r="BS30" s="203" t="s">
        <v>215</v>
      </c>
      <c r="BT30" s="203" t="s">
        <v>215</v>
      </c>
      <c r="BU30" s="203" t="s">
        <v>215</v>
      </c>
      <c r="BV30" s="203" t="s">
        <v>215</v>
      </c>
      <c r="BW30" s="203" t="s">
        <v>215</v>
      </c>
      <c r="BX30" s="203" t="s">
        <v>215</v>
      </c>
      <c r="BY30" s="203" t="s">
        <v>215</v>
      </c>
      <c r="BZ30" s="203" t="s">
        <v>215</v>
      </c>
      <c r="CA30" s="203" t="s">
        <v>215</v>
      </c>
      <c r="CB30" s="203" t="s">
        <v>215</v>
      </c>
      <c r="CC30" s="203" t="s">
        <v>215</v>
      </c>
      <c r="CD30" s="203" t="s">
        <v>215</v>
      </c>
      <c r="CE30" s="203" t="s">
        <v>215</v>
      </c>
      <c r="CF30" s="203" t="s">
        <v>215</v>
      </c>
      <c r="CG30" s="203" t="s">
        <v>215</v>
      </c>
      <c r="CH30" s="203" t="s">
        <v>215</v>
      </c>
      <c r="CI30" s="203" t="s">
        <v>215</v>
      </c>
      <c r="CJ30" s="203" t="s">
        <v>215</v>
      </c>
      <c r="CK30" s="203" t="s">
        <v>215</v>
      </c>
      <c r="CL30" s="203" t="s">
        <v>215</v>
      </c>
      <c r="CM30" s="203" t="s">
        <v>215</v>
      </c>
      <c r="CN30" s="203" t="s">
        <v>215</v>
      </c>
      <c r="CO30" s="203"/>
      <c r="CP30" s="203"/>
      <c r="CQ30" s="203"/>
      <c r="CR30" s="203"/>
      <c r="CS30" s="203"/>
      <c r="CT30" s="203"/>
      <c r="CU30" s="203"/>
      <c r="CV30" s="203"/>
      <c r="CW30" s="203"/>
      <c r="CX30" s="203"/>
      <c r="CY30" s="203"/>
      <c r="CZ30" s="203"/>
      <c r="DA30" s="203"/>
      <c r="DB30" s="203"/>
      <c r="DC30" s="203"/>
      <c r="DD30" s="203"/>
      <c r="DE30" s="203"/>
      <c r="DF30" s="203"/>
      <c r="DG30" s="203"/>
      <c r="DH30" s="203"/>
      <c r="DI30" s="203"/>
      <c r="DJ30" s="203"/>
      <c r="DK30" s="203"/>
      <c r="DL30" s="203"/>
      <c r="DM30" s="203"/>
      <c r="DN30" s="203"/>
      <c r="DO30" s="203"/>
      <c r="DP30" s="203"/>
      <c r="DQ30" s="203"/>
      <c r="DR30" s="203"/>
      <c r="DS30" s="203"/>
      <c r="DT30" s="203"/>
      <c r="DU30" s="203"/>
      <c r="DV30" s="203"/>
      <c r="DW30" s="203"/>
      <c r="DX30" s="203"/>
      <c r="DY30" s="203"/>
      <c r="DZ30" s="203"/>
      <c r="EA30" s="203"/>
      <c r="EB30" s="203"/>
      <c r="EC30" s="203"/>
      <c r="ED30" s="203"/>
      <c r="EE30" s="203"/>
      <c r="EF30" s="203"/>
      <c r="EG30" s="203"/>
      <c r="EH30" s="203"/>
      <c r="EI30" s="203"/>
      <c r="EJ30" s="203"/>
      <c r="EK30" s="203"/>
      <c r="EL30" s="203"/>
      <c r="EM30" s="203"/>
      <c r="EN30" s="203"/>
      <c r="EO30" s="203"/>
      <c r="EP30" s="203"/>
      <c r="EQ30" s="203"/>
      <c r="ER30" s="203"/>
      <c r="ES30" s="203"/>
      <c r="ET30" s="203"/>
      <c r="EU30" s="203"/>
      <c r="EV30" s="203"/>
      <c r="EW30" s="203"/>
      <c r="EX30" s="203"/>
      <c r="EY30" s="203"/>
      <c r="EZ30" s="203"/>
      <c r="FA30" s="203"/>
      <c r="FB30" s="203"/>
      <c r="FC30" s="203"/>
      <c r="FD30" s="203"/>
      <c r="FE30" s="203"/>
      <c r="FF30" s="203"/>
      <c r="FG30" s="203"/>
      <c r="FH30" s="203"/>
      <c r="FI30" s="203"/>
      <c r="FJ30" s="203"/>
      <c r="FK30" s="203"/>
      <c r="FL30" s="203"/>
      <c r="FM30" s="203"/>
      <c r="FN30" s="203"/>
      <c r="FO30" s="203"/>
      <c r="FP30" s="203"/>
      <c r="FQ30" s="203"/>
      <c r="FR30" s="203"/>
      <c r="FS30" s="203"/>
      <c r="FT30" s="203"/>
      <c r="FU30" s="203"/>
      <c r="FV30" s="203"/>
      <c r="FW30" s="203"/>
      <c r="FX30" s="203"/>
      <c r="FY30" s="203"/>
      <c r="FZ30" s="203"/>
      <c r="GA30" s="203"/>
      <c r="GB30" s="203"/>
      <c r="GC30" s="203"/>
      <c r="GD30" s="203"/>
      <c r="GE30" s="203"/>
      <c r="GF30" s="203"/>
      <c r="GG30" s="203"/>
      <c r="GH30" s="203"/>
      <c r="GI30" s="203"/>
      <c r="GJ30" s="203"/>
      <c r="GK30" s="203"/>
      <c r="GL30" s="203"/>
      <c r="GM30" s="203"/>
      <c r="GN30" s="203"/>
      <c r="GO30" s="203"/>
      <c r="GP30" s="203"/>
      <c r="GQ30" s="203"/>
      <c r="GR30" s="203"/>
      <c r="GS30" s="203"/>
      <c r="GT30" s="203"/>
      <c r="GU30" s="203"/>
      <c r="GV30" s="203"/>
      <c r="GW30" s="203"/>
      <c r="GX30" s="203"/>
      <c r="GY30" s="203"/>
      <c r="GZ30" s="203"/>
      <c r="HA30" s="203"/>
      <c r="HB30" s="203"/>
      <c r="HC30" s="203"/>
      <c r="HD30" s="203"/>
      <c r="HE30" s="203"/>
      <c r="HF30" s="203"/>
      <c r="HG30" s="203"/>
      <c r="HH30" s="203"/>
      <c r="HI30" s="203"/>
      <c r="HJ30" s="203"/>
      <c r="HK30" s="203"/>
      <c r="HL30" s="203"/>
      <c r="HM30" s="203"/>
      <c r="HN30" s="203"/>
    </row>
    <row r="31" spans="1:222" ht="13.8" thickBot="1" x14ac:dyDescent="0.35">
      <c r="A31" s="205"/>
      <c r="B31" s="205"/>
    </row>
    <row r="32" spans="1:222" ht="55.05" customHeight="1" thickBot="1" x14ac:dyDescent="0.35">
      <c r="A32" s="202">
        <v>3</v>
      </c>
      <c r="B32" s="206" t="s">
        <v>21</v>
      </c>
      <c r="C32" s="203" t="s">
        <v>215</v>
      </c>
      <c r="D32" s="203" t="s">
        <v>215</v>
      </c>
      <c r="E32" s="203" t="s">
        <v>215</v>
      </c>
      <c r="F32" s="203" t="s">
        <v>215</v>
      </c>
      <c r="G32" s="203" t="s">
        <v>215</v>
      </c>
      <c r="H32" s="203" t="s">
        <v>215</v>
      </c>
      <c r="I32" s="203" t="s">
        <v>215</v>
      </c>
      <c r="J32" s="203" t="s">
        <v>215</v>
      </c>
      <c r="K32" s="203" t="s">
        <v>215</v>
      </c>
      <c r="L32" s="203" t="s">
        <v>215</v>
      </c>
      <c r="M32" s="203" t="s">
        <v>215</v>
      </c>
      <c r="N32" s="203" t="s">
        <v>215</v>
      </c>
      <c r="O32" s="203" t="s">
        <v>215</v>
      </c>
      <c r="P32" s="203" t="s">
        <v>215</v>
      </c>
      <c r="Q32" s="203" t="s">
        <v>215</v>
      </c>
      <c r="R32" s="203" t="s">
        <v>215</v>
      </c>
      <c r="S32" s="203" t="s">
        <v>215</v>
      </c>
      <c r="T32" s="203" t="s">
        <v>215</v>
      </c>
      <c r="U32" s="203" t="s">
        <v>215</v>
      </c>
      <c r="V32" s="203" t="s">
        <v>215</v>
      </c>
      <c r="W32" s="203" t="s">
        <v>215</v>
      </c>
      <c r="X32" s="203" t="s">
        <v>215</v>
      </c>
      <c r="Y32" s="203" t="s">
        <v>215</v>
      </c>
      <c r="Z32" s="203" t="s">
        <v>215</v>
      </c>
      <c r="AA32" s="203" t="s">
        <v>215</v>
      </c>
      <c r="AB32" s="203" t="s">
        <v>215</v>
      </c>
      <c r="AC32" s="203" t="s">
        <v>215</v>
      </c>
      <c r="AD32" s="203" t="s">
        <v>215</v>
      </c>
      <c r="AE32" s="203" t="s">
        <v>215</v>
      </c>
      <c r="AF32" s="203" t="s">
        <v>215</v>
      </c>
      <c r="AG32" s="203" t="s">
        <v>215</v>
      </c>
      <c r="AH32" s="203" t="s">
        <v>215</v>
      </c>
      <c r="AI32" s="203" t="s">
        <v>215</v>
      </c>
      <c r="AJ32" s="203" t="s">
        <v>215</v>
      </c>
      <c r="AK32" s="203" t="s">
        <v>215</v>
      </c>
      <c r="AL32" s="203" t="s">
        <v>215</v>
      </c>
      <c r="AM32" s="203" t="s">
        <v>215</v>
      </c>
      <c r="AN32" s="203" t="s">
        <v>215</v>
      </c>
      <c r="AO32" s="203" t="s">
        <v>215</v>
      </c>
      <c r="AP32" s="203" t="s">
        <v>215</v>
      </c>
      <c r="AQ32" s="203" t="s">
        <v>215</v>
      </c>
      <c r="AR32" s="203" t="s">
        <v>215</v>
      </c>
      <c r="AS32" s="203" t="s">
        <v>215</v>
      </c>
      <c r="AT32" s="203" t="s">
        <v>215</v>
      </c>
      <c r="AU32" s="203" t="s">
        <v>215</v>
      </c>
      <c r="AV32" s="203" t="s">
        <v>215</v>
      </c>
      <c r="AW32" s="203" t="s">
        <v>215</v>
      </c>
      <c r="AX32" s="203" t="s">
        <v>215</v>
      </c>
      <c r="AY32" s="203" t="s">
        <v>215</v>
      </c>
      <c r="AZ32" s="203" t="s">
        <v>215</v>
      </c>
      <c r="BA32" s="203" t="s">
        <v>215</v>
      </c>
      <c r="BB32" s="203" t="s">
        <v>215</v>
      </c>
      <c r="BC32" s="203" t="s">
        <v>215</v>
      </c>
      <c r="BD32" s="203" t="s">
        <v>215</v>
      </c>
      <c r="BE32" s="203" t="s">
        <v>215</v>
      </c>
      <c r="BF32" s="203" t="s">
        <v>215</v>
      </c>
      <c r="BG32" s="203" t="s">
        <v>215</v>
      </c>
      <c r="BH32" s="203" t="s">
        <v>215</v>
      </c>
      <c r="BI32" s="203" t="s">
        <v>215</v>
      </c>
      <c r="BJ32" s="203" t="s">
        <v>215</v>
      </c>
      <c r="BK32" s="203" t="s">
        <v>215</v>
      </c>
      <c r="BL32" s="203" t="s">
        <v>215</v>
      </c>
      <c r="BM32" s="203" t="s">
        <v>215</v>
      </c>
      <c r="BN32" s="203" t="s">
        <v>215</v>
      </c>
      <c r="BO32" s="203" t="s">
        <v>215</v>
      </c>
      <c r="BP32" s="203" t="s">
        <v>215</v>
      </c>
      <c r="BQ32" s="203" t="s">
        <v>215</v>
      </c>
      <c r="BR32" s="203" t="s">
        <v>215</v>
      </c>
      <c r="BS32" s="203" t="s">
        <v>215</v>
      </c>
      <c r="BT32" s="203" t="s">
        <v>215</v>
      </c>
      <c r="BU32" s="203" t="s">
        <v>215</v>
      </c>
      <c r="BV32" s="203" t="s">
        <v>215</v>
      </c>
      <c r="BW32" s="203" t="s">
        <v>215</v>
      </c>
      <c r="BX32" s="203" t="s">
        <v>215</v>
      </c>
      <c r="BY32" s="203" t="s">
        <v>215</v>
      </c>
      <c r="BZ32" s="203" t="s">
        <v>215</v>
      </c>
      <c r="CA32" s="203" t="s">
        <v>215</v>
      </c>
      <c r="CB32" s="203" t="s">
        <v>215</v>
      </c>
      <c r="CC32" s="203" t="s">
        <v>215</v>
      </c>
      <c r="CD32" s="203" t="s">
        <v>215</v>
      </c>
      <c r="CE32" s="203" t="s">
        <v>215</v>
      </c>
      <c r="CF32" s="203" t="s">
        <v>215</v>
      </c>
      <c r="CG32" s="203" t="s">
        <v>215</v>
      </c>
      <c r="CH32" s="203" t="s">
        <v>215</v>
      </c>
      <c r="CI32" s="203" t="s">
        <v>215</v>
      </c>
      <c r="CJ32" s="203" t="s">
        <v>215</v>
      </c>
      <c r="CK32" s="203" t="s">
        <v>215</v>
      </c>
      <c r="CL32" s="203" t="s">
        <v>215</v>
      </c>
      <c r="CM32" s="203" t="s">
        <v>215</v>
      </c>
      <c r="CN32" s="203" t="s">
        <v>215</v>
      </c>
      <c r="CO32" s="203"/>
      <c r="CP32" s="203"/>
      <c r="CQ32" s="203"/>
      <c r="CR32" s="203"/>
      <c r="CS32" s="203"/>
      <c r="CT32" s="203"/>
      <c r="CU32" s="203"/>
      <c r="CV32" s="203"/>
      <c r="CW32" s="203"/>
      <c r="CX32" s="203"/>
      <c r="CY32" s="203"/>
      <c r="CZ32" s="203"/>
      <c r="DA32" s="203"/>
      <c r="DB32" s="203"/>
      <c r="DC32" s="203"/>
      <c r="DD32" s="203"/>
      <c r="DE32" s="203"/>
      <c r="DF32" s="203"/>
      <c r="DG32" s="203"/>
      <c r="DH32" s="203"/>
      <c r="DI32" s="203"/>
      <c r="DJ32" s="203"/>
      <c r="DK32" s="203"/>
      <c r="DL32" s="203"/>
      <c r="DM32" s="203"/>
      <c r="DN32" s="203"/>
      <c r="DO32" s="203"/>
      <c r="DP32" s="203"/>
      <c r="DQ32" s="203"/>
      <c r="DR32" s="203"/>
      <c r="DS32" s="203"/>
      <c r="DT32" s="203"/>
      <c r="DU32" s="203"/>
      <c r="DV32" s="203"/>
      <c r="DW32" s="203"/>
      <c r="DX32" s="203"/>
      <c r="DY32" s="203"/>
      <c r="DZ32" s="203"/>
      <c r="EA32" s="203"/>
      <c r="EB32" s="203"/>
      <c r="EC32" s="203"/>
      <c r="ED32" s="203"/>
      <c r="EE32" s="203"/>
      <c r="EF32" s="203"/>
      <c r="EG32" s="203"/>
      <c r="EH32" s="203"/>
      <c r="EI32" s="203"/>
      <c r="EJ32" s="203"/>
      <c r="EK32" s="203"/>
      <c r="EL32" s="203"/>
      <c r="EM32" s="203"/>
      <c r="EN32" s="203"/>
      <c r="EO32" s="203"/>
      <c r="EP32" s="203"/>
      <c r="EQ32" s="203"/>
      <c r="ER32" s="203"/>
      <c r="ES32" s="203"/>
      <c r="ET32" s="203"/>
      <c r="EU32" s="203"/>
      <c r="EV32" s="203"/>
      <c r="EW32" s="203"/>
      <c r="EX32" s="203"/>
      <c r="EY32" s="203"/>
      <c r="EZ32" s="203"/>
      <c r="FA32" s="203"/>
      <c r="FB32" s="203"/>
      <c r="FC32" s="203"/>
      <c r="FD32" s="203"/>
      <c r="FE32" s="203"/>
      <c r="FF32" s="203"/>
      <c r="FG32" s="203"/>
      <c r="FH32" s="203"/>
      <c r="FI32" s="203"/>
      <c r="FJ32" s="203"/>
      <c r="FK32" s="203"/>
      <c r="FL32" s="203"/>
      <c r="FM32" s="203"/>
      <c r="FN32" s="203"/>
      <c r="FO32" s="203"/>
      <c r="FP32" s="203"/>
      <c r="FQ32" s="203"/>
      <c r="FR32" s="203"/>
      <c r="FS32" s="203"/>
      <c r="FT32" s="203"/>
      <c r="FU32" s="203"/>
      <c r="FV32" s="203"/>
      <c r="FW32" s="203"/>
      <c r="FX32" s="203"/>
      <c r="FY32" s="203"/>
      <c r="FZ32" s="203"/>
      <c r="GA32" s="203"/>
      <c r="GB32" s="203"/>
      <c r="GC32" s="203"/>
      <c r="GD32" s="203"/>
      <c r="GE32" s="203"/>
      <c r="GF32" s="203"/>
      <c r="GG32" s="203"/>
      <c r="GH32" s="203"/>
      <c r="GI32" s="203"/>
      <c r="GJ32" s="203"/>
      <c r="GK32" s="203"/>
      <c r="GL32" s="203"/>
      <c r="GM32" s="203"/>
      <c r="GN32" s="203"/>
      <c r="GO32" s="203"/>
      <c r="GP32" s="203"/>
      <c r="GQ32" s="203"/>
      <c r="GR32" s="203"/>
      <c r="GS32" s="203"/>
      <c r="GT32" s="203"/>
      <c r="GU32" s="203"/>
      <c r="GV32" s="203"/>
      <c r="GW32" s="203"/>
      <c r="GX32" s="203"/>
      <c r="GY32" s="203"/>
      <c r="GZ32" s="203"/>
      <c r="HA32" s="203"/>
      <c r="HB32" s="203"/>
      <c r="HC32" s="203"/>
      <c r="HD32" s="203"/>
      <c r="HE32" s="203"/>
      <c r="HF32" s="203"/>
      <c r="HG32" s="203"/>
      <c r="HH32" s="203"/>
      <c r="HI32" s="203"/>
      <c r="HJ32" s="203"/>
      <c r="HK32" s="203"/>
      <c r="HL32" s="203"/>
      <c r="HM32" s="203"/>
      <c r="HN32" s="203"/>
    </row>
  </sheetData>
  <mergeCells count="8">
    <mergeCell ref="B14:B15"/>
    <mergeCell ref="B12:B13"/>
    <mergeCell ref="B10:B11"/>
    <mergeCell ref="B24:B25"/>
    <mergeCell ref="B22:B23"/>
    <mergeCell ref="B20:B21"/>
    <mergeCell ref="B18:B19"/>
    <mergeCell ref="B16:B17"/>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ommentTransferFromNamelist">
                <anchor moveWithCells="1" sizeWithCells="1">
                  <from>
                    <xdr:col>0</xdr:col>
                    <xdr:colOff>76200</xdr:colOff>
                    <xdr:row>0</xdr:row>
                    <xdr:rowOff>45720</xdr:rowOff>
                  </from>
                  <to>
                    <xdr:col>1</xdr:col>
                    <xdr:colOff>1104900</xdr:colOff>
                    <xdr:row>2</xdr:row>
                    <xdr:rowOff>213360</xdr:rowOff>
                  </to>
                </anchor>
              </controlPr>
            </control>
          </mc:Choice>
        </mc:AlternateContent>
        <mc:AlternateContent xmlns:mc="http://schemas.openxmlformats.org/markup-compatibility/2006">
          <mc:Choice Requires="x14">
            <control shapeId="29698" r:id="rId5" name="Button 2">
              <controlPr defaultSize="0" print="0" autoFill="0" autoPict="0" macro="[0]!GenerateRandomCommentPhrase">
                <anchor moveWithCells="1" sizeWithCells="1">
                  <from>
                    <xdr:col>0</xdr:col>
                    <xdr:colOff>83820</xdr:colOff>
                    <xdr:row>2</xdr:row>
                    <xdr:rowOff>243840</xdr:rowOff>
                  </from>
                  <to>
                    <xdr:col>1</xdr:col>
                    <xdr:colOff>1112520</xdr:colOff>
                    <xdr:row>4</xdr:row>
                    <xdr:rowOff>220980</xdr:rowOff>
                  </to>
                </anchor>
              </controlPr>
            </control>
          </mc:Choice>
        </mc:AlternateContent>
        <mc:AlternateContent xmlns:mc="http://schemas.openxmlformats.org/markup-compatibility/2006">
          <mc:Choice Requires="x14">
            <control shapeId="29699" r:id="rId6" name="Button 3">
              <controlPr defaultSize="0" print="0" autoFill="0" autoPict="0" macro="[0]!GenerateNILforEmptyCell">
                <anchor moveWithCells="1" sizeWithCells="1">
                  <from>
                    <xdr:col>0</xdr:col>
                    <xdr:colOff>83820</xdr:colOff>
                    <xdr:row>5</xdr:row>
                    <xdr:rowOff>15240</xdr:rowOff>
                  </from>
                  <to>
                    <xdr:col>1</xdr:col>
                    <xdr:colOff>1112520</xdr:colOff>
                    <xdr:row>6</xdr:row>
                    <xdr:rowOff>205740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48"/>
  <sheetViews>
    <sheetView topLeftCell="A16" workbookViewId="0">
      <selection activeCell="C21" sqref="C21:C28"/>
    </sheetView>
  </sheetViews>
  <sheetFormatPr defaultColWidth="9.21875" defaultRowHeight="15" customHeight="1" x14ac:dyDescent="0.3"/>
  <cols>
    <col min="1" max="1" width="36.21875" style="101" bestFit="1" customWidth="1"/>
    <col min="2" max="2" width="121.5546875" style="102" bestFit="1" customWidth="1"/>
    <col min="3" max="3" width="12" style="101" customWidth="1"/>
    <col min="4" max="16384" width="9.21875" style="101"/>
  </cols>
  <sheetData>
    <row r="1" spans="1:3" ht="15" customHeight="1" x14ac:dyDescent="0.3">
      <c r="A1" s="212" t="s">
        <v>305</v>
      </c>
      <c r="B1" s="213" t="s">
        <v>168</v>
      </c>
      <c r="C1" s="212" t="s">
        <v>169</v>
      </c>
    </row>
    <row r="2" spans="1:3" ht="15" customHeight="1" x14ac:dyDescent="0.3">
      <c r="A2" s="101" t="s">
        <v>13</v>
      </c>
      <c r="B2" s="102" t="s">
        <v>211</v>
      </c>
      <c r="C2" s="101">
        <v>1</v>
      </c>
    </row>
    <row r="3" spans="1:3" ht="15" customHeight="1" x14ac:dyDescent="0.3">
      <c r="A3" s="101" t="s">
        <v>13</v>
      </c>
      <c r="B3" s="102" t="s">
        <v>207</v>
      </c>
      <c r="C3" s="101">
        <v>2</v>
      </c>
    </row>
    <row r="4" spans="1:3" ht="15" customHeight="1" x14ac:dyDescent="0.3">
      <c r="A4" s="101" t="s">
        <v>13</v>
      </c>
      <c r="B4" s="102" t="s">
        <v>210</v>
      </c>
      <c r="C4" s="101">
        <v>2</v>
      </c>
    </row>
    <row r="5" spans="1:3" ht="15" customHeight="1" x14ac:dyDescent="0.3">
      <c r="A5" s="101" t="s">
        <v>13</v>
      </c>
      <c r="B5" s="102" t="s">
        <v>205</v>
      </c>
      <c r="C5" s="101">
        <v>3</v>
      </c>
    </row>
    <row r="6" spans="1:3" ht="15" customHeight="1" x14ac:dyDescent="0.3">
      <c r="A6" s="101" t="s">
        <v>13</v>
      </c>
      <c r="B6" s="102" t="s">
        <v>208</v>
      </c>
      <c r="C6" s="101">
        <v>3</v>
      </c>
    </row>
    <row r="7" spans="1:3" ht="15" customHeight="1" x14ac:dyDescent="0.3">
      <c r="A7" s="101" t="s">
        <v>13</v>
      </c>
      <c r="B7" s="102" t="s">
        <v>206</v>
      </c>
      <c r="C7" s="101">
        <v>4</v>
      </c>
    </row>
    <row r="8" spans="1:3" ht="15" customHeight="1" x14ac:dyDescent="0.3">
      <c r="A8" s="101" t="s">
        <v>13</v>
      </c>
      <c r="B8" s="102" t="s">
        <v>209</v>
      </c>
      <c r="C8" s="101">
        <v>4</v>
      </c>
    </row>
    <row r="9" spans="1:3" ht="15" customHeight="1" x14ac:dyDescent="0.3">
      <c r="A9" s="101" t="s">
        <v>15</v>
      </c>
      <c r="B9" s="102" t="s">
        <v>215</v>
      </c>
      <c r="C9" s="101">
        <v>1</v>
      </c>
    </row>
    <row r="10" spans="1:3" ht="15" customHeight="1" x14ac:dyDescent="0.3">
      <c r="A10" s="101" t="s">
        <v>15</v>
      </c>
      <c r="B10" s="102" t="s">
        <v>214</v>
      </c>
      <c r="C10" s="101">
        <v>2</v>
      </c>
    </row>
    <row r="11" spans="1:3" ht="15" customHeight="1" x14ac:dyDescent="0.3">
      <c r="A11" s="101" t="s">
        <v>15</v>
      </c>
      <c r="B11" s="102" t="s">
        <v>213</v>
      </c>
      <c r="C11" s="101">
        <v>3</v>
      </c>
    </row>
    <row r="12" spans="1:3" ht="15" customHeight="1" x14ac:dyDescent="0.3">
      <c r="A12" s="101" t="s">
        <v>15</v>
      </c>
      <c r="B12" s="102" t="s">
        <v>212</v>
      </c>
      <c r="C12" s="101">
        <v>4</v>
      </c>
    </row>
    <row r="13" spans="1:3" ht="15" customHeight="1" x14ac:dyDescent="0.3">
      <c r="A13" s="101" t="s">
        <v>14</v>
      </c>
      <c r="B13" s="102" t="s">
        <v>176</v>
      </c>
      <c r="C13" s="101">
        <v>1</v>
      </c>
    </row>
    <row r="14" spans="1:3" ht="15" customHeight="1" x14ac:dyDescent="0.3">
      <c r="A14" s="101" t="s">
        <v>14</v>
      </c>
      <c r="B14" s="102" t="s">
        <v>177</v>
      </c>
      <c r="C14" s="101">
        <v>1</v>
      </c>
    </row>
    <row r="15" spans="1:3" ht="15" customHeight="1" x14ac:dyDescent="0.3">
      <c r="A15" s="101" t="s">
        <v>14</v>
      </c>
      <c r="B15" s="102" t="s">
        <v>174</v>
      </c>
      <c r="C15" s="101">
        <v>2</v>
      </c>
    </row>
    <row r="16" spans="1:3" ht="15" customHeight="1" x14ac:dyDescent="0.3">
      <c r="A16" s="101" t="s">
        <v>14</v>
      </c>
      <c r="B16" s="102" t="s">
        <v>175</v>
      </c>
      <c r="C16" s="101">
        <v>2</v>
      </c>
    </row>
    <row r="17" spans="1:3" ht="15" customHeight="1" x14ac:dyDescent="0.3">
      <c r="A17" s="101" t="s">
        <v>14</v>
      </c>
      <c r="B17" s="102" t="s">
        <v>172</v>
      </c>
      <c r="C17" s="101">
        <v>3</v>
      </c>
    </row>
    <row r="18" spans="1:3" ht="15" customHeight="1" x14ac:dyDescent="0.3">
      <c r="A18" s="101" t="s">
        <v>14</v>
      </c>
      <c r="B18" s="102" t="s">
        <v>173</v>
      </c>
      <c r="C18" s="101">
        <v>3</v>
      </c>
    </row>
    <row r="19" spans="1:3" ht="15" customHeight="1" x14ac:dyDescent="0.3">
      <c r="A19" s="101" t="s">
        <v>14</v>
      </c>
      <c r="B19" s="102" t="s">
        <v>170</v>
      </c>
      <c r="C19" s="101">
        <v>4</v>
      </c>
    </row>
    <row r="20" spans="1:3" ht="15" customHeight="1" x14ac:dyDescent="0.3">
      <c r="A20" s="101" t="s">
        <v>14</v>
      </c>
      <c r="B20" s="102" t="s">
        <v>171</v>
      </c>
      <c r="C20" s="101">
        <v>4</v>
      </c>
    </row>
    <row r="21" spans="1:3" ht="15" customHeight="1" x14ac:dyDescent="0.3">
      <c r="A21" s="101" t="s">
        <v>9</v>
      </c>
      <c r="B21" s="102" t="s">
        <v>183</v>
      </c>
      <c r="C21" s="101">
        <v>1</v>
      </c>
    </row>
    <row r="22" spans="1:3" ht="15" customHeight="1" x14ac:dyDescent="0.3">
      <c r="A22" s="101" t="s">
        <v>9</v>
      </c>
      <c r="B22" s="102" t="s">
        <v>184</v>
      </c>
      <c r="C22" s="101">
        <v>1</v>
      </c>
    </row>
    <row r="23" spans="1:3" ht="15" customHeight="1" x14ac:dyDescent="0.3">
      <c r="A23" s="101" t="s">
        <v>9</v>
      </c>
      <c r="B23" s="102" t="s">
        <v>216</v>
      </c>
      <c r="C23" s="101">
        <v>2</v>
      </c>
    </row>
    <row r="24" spans="1:3" ht="15" customHeight="1" x14ac:dyDescent="0.3">
      <c r="A24" s="101" t="s">
        <v>9</v>
      </c>
      <c r="B24" s="102" t="s">
        <v>182</v>
      </c>
      <c r="C24" s="101">
        <v>2</v>
      </c>
    </row>
    <row r="25" spans="1:3" ht="15" customHeight="1" x14ac:dyDescent="0.3">
      <c r="A25" s="101" t="s">
        <v>9</v>
      </c>
      <c r="B25" s="102" t="s">
        <v>180</v>
      </c>
      <c r="C25" s="101">
        <v>3</v>
      </c>
    </row>
    <row r="26" spans="1:3" ht="15" customHeight="1" x14ac:dyDescent="0.3">
      <c r="A26" s="101" t="s">
        <v>9</v>
      </c>
      <c r="B26" s="102" t="s">
        <v>181</v>
      </c>
      <c r="C26" s="101">
        <v>3</v>
      </c>
    </row>
    <row r="27" spans="1:3" ht="15" customHeight="1" x14ac:dyDescent="0.3">
      <c r="A27" s="101" t="s">
        <v>9</v>
      </c>
      <c r="B27" s="102" t="s">
        <v>178</v>
      </c>
      <c r="C27" s="101">
        <v>4</v>
      </c>
    </row>
    <row r="28" spans="1:3" ht="15" customHeight="1" x14ac:dyDescent="0.3">
      <c r="A28" s="101" t="s">
        <v>9</v>
      </c>
      <c r="B28" s="102" t="s">
        <v>179</v>
      </c>
      <c r="C28" s="101">
        <v>4</v>
      </c>
    </row>
    <row r="29" spans="1:3" ht="15" customHeight="1" x14ac:dyDescent="0.3">
      <c r="A29" s="101" t="s">
        <v>10</v>
      </c>
      <c r="B29" s="102" t="s">
        <v>190</v>
      </c>
      <c r="C29" s="101">
        <v>1</v>
      </c>
    </row>
    <row r="30" spans="1:3" ht="15" customHeight="1" x14ac:dyDescent="0.3">
      <c r="A30" s="101" t="s">
        <v>10</v>
      </c>
      <c r="B30" s="102" t="s">
        <v>189</v>
      </c>
      <c r="C30" s="101">
        <v>2</v>
      </c>
    </row>
    <row r="31" spans="1:3" ht="15" customHeight="1" x14ac:dyDescent="0.3">
      <c r="A31" s="101" t="s">
        <v>10</v>
      </c>
      <c r="B31" s="102" t="s">
        <v>187</v>
      </c>
      <c r="C31" s="101">
        <v>3</v>
      </c>
    </row>
    <row r="32" spans="1:3" ht="15" customHeight="1" x14ac:dyDescent="0.3">
      <c r="A32" s="101" t="s">
        <v>10</v>
      </c>
      <c r="B32" s="102" t="s">
        <v>188</v>
      </c>
      <c r="C32" s="101">
        <v>3</v>
      </c>
    </row>
    <row r="33" spans="1:3" ht="15" customHeight="1" x14ac:dyDescent="0.3">
      <c r="A33" s="101" t="s">
        <v>10</v>
      </c>
      <c r="B33" s="102" t="s">
        <v>185</v>
      </c>
      <c r="C33" s="101">
        <v>4</v>
      </c>
    </row>
    <row r="34" spans="1:3" ht="15" customHeight="1" x14ac:dyDescent="0.3">
      <c r="A34" s="101" t="s">
        <v>10</v>
      </c>
      <c r="B34" s="102" t="s">
        <v>186</v>
      </c>
      <c r="C34" s="101">
        <v>4</v>
      </c>
    </row>
    <row r="35" spans="1:3" ht="15" customHeight="1" x14ac:dyDescent="0.3">
      <c r="A35" s="101" t="s">
        <v>11</v>
      </c>
      <c r="B35" s="102" t="s">
        <v>197</v>
      </c>
      <c r="C35" s="101">
        <v>1</v>
      </c>
    </row>
    <row r="36" spans="1:3" ht="15" customHeight="1" x14ac:dyDescent="0.3">
      <c r="A36" s="101" t="s">
        <v>11</v>
      </c>
      <c r="B36" s="102" t="s">
        <v>195</v>
      </c>
      <c r="C36" s="101">
        <v>2</v>
      </c>
    </row>
    <row r="37" spans="1:3" ht="15" customHeight="1" x14ac:dyDescent="0.3">
      <c r="A37" s="101" t="s">
        <v>11</v>
      </c>
      <c r="B37" s="102" t="s">
        <v>196</v>
      </c>
      <c r="C37" s="101">
        <v>2</v>
      </c>
    </row>
    <row r="38" spans="1:3" ht="15" customHeight="1" x14ac:dyDescent="0.3">
      <c r="A38" s="101" t="s">
        <v>11</v>
      </c>
      <c r="B38" s="102" t="s">
        <v>193</v>
      </c>
      <c r="C38" s="101">
        <v>3</v>
      </c>
    </row>
    <row r="39" spans="1:3" ht="15" customHeight="1" x14ac:dyDescent="0.3">
      <c r="A39" s="101" t="s">
        <v>11</v>
      </c>
      <c r="B39" s="102" t="s">
        <v>194</v>
      </c>
      <c r="C39" s="101">
        <v>3</v>
      </c>
    </row>
    <row r="40" spans="1:3" ht="15" customHeight="1" x14ac:dyDescent="0.3">
      <c r="A40" s="101" t="s">
        <v>11</v>
      </c>
      <c r="B40" s="102" t="s">
        <v>191</v>
      </c>
      <c r="C40" s="101">
        <v>4</v>
      </c>
    </row>
    <row r="41" spans="1:3" ht="15" customHeight="1" x14ac:dyDescent="0.3">
      <c r="A41" s="101" t="s">
        <v>11</v>
      </c>
      <c r="B41" s="102" t="s">
        <v>192</v>
      </c>
      <c r="C41" s="101">
        <v>4</v>
      </c>
    </row>
    <row r="42" spans="1:3" ht="15" customHeight="1" x14ac:dyDescent="0.3">
      <c r="A42" s="101" t="s">
        <v>12</v>
      </c>
      <c r="B42" s="102" t="s">
        <v>204</v>
      </c>
      <c r="C42" s="101">
        <v>1</v>
      </c>
    </row>
    <row r="43" spans="1:3" ht="15" customHeight="1" x14ac:dyDescent="0.3">
      <c r="A43" s="101" t="s">
        <v>12</v>
      </c>
      <c r="B43" s="102" t="s">
        <v>202</v>
      </c>
      <c r="C43" s="101">
        <v>2</v>
      </c>
    </row>
    <row r="44" spans="1:3" ht="15" customHeight="1" x14ac:dyDescent="0.3">
      <c r="A44" s="101" t="s">
        <v>12</v>
      </c>
      <c r="B44" s="102" t="s">
        <v>203</v>
      </c>
      <c r="C44" s="101">
        <v>2</v>
      </c>
    </row>
    <row r="45" spans="1:3" ht="15" customHeight="1" x14ac:dyDescent="0.3">
      <c r="A45" s="101" t="s">
        <v>12</v>
      </c>
      <c r="B45" s="102" t="s">
        <v>198</v>
      </c>
      <c r="C45" s="101">
        <v>3</v>
      </c>
    </row>
    <row r="46" spans="1:3" ht="15" customHeight="1" x14ac:dyDescent="0.3">
      <c r="A46" s="101" t="s">
        <v>12</v>
      </c>
      <c r="B46" s="102" t="s">
        <v>199</v>
      </c>
      <c r="C46" s="101">
        <v>3</v>
      </c>
    </row>
    <row r="47" spans="1:3" ht="15" customHeight="1" x14ac:dyDescent="0.3">
      <c r="A47" s="101" t="s">
        <v>12</v>
      </c>
      <c r="B47" s="102" t="s">
        <v>200</v>
      </c>
      <c r="C47" s="101">
        <v>4</v>
      </c>
    </row>
    <row r="48" spans="1:3" ht="15" customHeight="1" x14ac:dyDescent="0.3">
      <c r="A48" s="101" t="s">
        <v>12</v>
      </c>
      <c r="B48" s="102" t="s">
        <v>201</v>
      </c>
      <c r="C48" s="101">
        <v>4</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
  <sheetViews>
    <sheetView showGridLines="0" zoomScale="70" zoomScaleNormal="70" workbookViewId="0">
      <selection activeCell="Y4" sqref="Y4"/>
    </sheetView>
  </sheetViews>
  <sheetFormatPr defaultRowHeight="14.4" x14ac:dyDescent="0.3"/>
  <sheetData/>
  <printOptions horizontalCentered="1" verticalCentered="1"/>
  <pageMargins left="0" right="0" top="0" bottom="0" header="0" footer="0"/>
  <pageSetup paperSize="9" scale="6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5"/>
  <sheetViews>
    <sheetView showGridLines="0" zoomScale="70" zoomScaleNormal="70" workbookViewId="0">
      <selection activeCell="Y4" sqref="Y4"/>
    </sheetView>
  </sheetViews>
  <sheetFormatPr defaultRowHeight="14.4" x14ac:dyDescent="0.3"/>
  <cols>
    <col min="14" max="14" width="9.21875" customWidth="1"/>
  </cols>
  <sheetData>
    <row r="5" ht="31.5" customHeight="1" x14ac:dyDescent="0.3"/>
  </sheetData>
  <printOptions horizontalCentered="1" verticalCentered="1"/>
  <pageMargins left="0" right="0" top="0" bottom="0" header="0" footer="0"/>
  <pageSetup paperSize="9" scale="65"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2:N53"/>
  <sheetViews>
    <sheetView showGridLines="0" workbookViewId="0">
      <selection activeCell="D4" sqref="D4"/>
    </sheetView>
  </sheetViews>
  <sheetFormatPr defaultColWidth="9.21875" defaultRowHeight="13.2" x14ac:dyDescent="0.3"/>
  <cols>
    <col min="1" max="1" width="1.21875" style="1" customWidth="1"/>
    <col min="2" max="2" width="10.44140625" style="1" customWidth="1"/>
    <col min="3" max="3" width="8.44140625" style="1" customWidth="1"/>
    <col min="4" max="4" width="33.21875" style="1" customWidth="1"/>
    <col min="5" max="5" width="7.77734375" style="1" customWidth="1"/>
    <col min="6" max="6" width="1.21875" style="1" customWidth="1"/>
    <col min="7" max="7" width="4.77734375" style="1" customWidth="1"/>
    <col min="8" max="8" width="1.5546875" style="1" customWidth="1"/>
    <col min="9" max="9" width="7.77734375" style="1" customWidth="1"/>
    <col min="10" max="10" width="2.44140625" style="1" customWidth="1"/>
    <col min="11" max="11" width="11.77734375" style="1" customWidth="1"/>
    <col min="12" max="12" width="2.77734375" style="1" customWidth="1"/>
    <col min="13" max="13" width="33.21875" style="1" customWidth="1"/>
    <col min="14" max="16384" width="9.21875" style="1"/>
  </cols>
  <sheetData>
    <row r="2" spans="2:14" ht="30" customHeight="1" x14ac:dyDescent="0.3">
      <c r="D2" s="238" t="s">
        <v>83</v>
      </c>
      <c r="E2" s="238"/>
      <c r="F2" s="238"/>
      <c r="G2" s="238"/>
      <c r="H2" s="238"/>
      <c r="I2" s="238"/>
      <c r="J2" s="238"/>
      <c r="K2" s="238"/>
      <c r="L2" s="238"/>
      <c r="M2" s="238"/>
    </row>
    <row r="3" spans="2:14" ht="27" customHeight="1" x14ac:dyDescent="0.3">
      <c r="D3" s="239" t="s">
        <v>102</v>
      </c>
      <c r="E3" s="239"/>
      <c r="F3" s="239"/>
      <c r="G3" s="239"/>
      <c r="H3" s="239"/>
      <c r="I3" s="239"/>
      <c r="J3" s="239"/>
      <c r="K3" s="239"/>
      <c r="L3" s="239"/>
      <c r="M3" s="239"/>
    </row>
    <row r="4" spans="2:14" ht="25.05" customHeight="1" x14ac:dyDescent="0.3">
      <c r="B4" s="6" t="s">
        <v>84</v>
      </c>
      <c r="C4" s="2" t="s">
        <v>100</v>
      </c>
      <c r="D4" s="2" t="str">
        <f>'Setting Page'!$B$4</f>
        <v>KHO KEAN KOK</v>
      </c>
      <c r="K4" s="6" t="s">
        <v>85</v>
      </c>
      <c r="L4" s="2" t="s">
        <v>100</v>
      </c>
      <c r="M4" s="2" t="str">
        <f>HLOOKUP($D$4,Comment!$C$2:$XFD$6,3,FALSE)</f>
        <v>20150095</v>
      </c>
    </row>
    <row r="5" spans="2:14" ht="25.05" customHeight="1" x14ac:dyDescent="0.3">
      <c r="B5" s="6" t="s">
        <v>4</v>
      </c>
      <c r="C5" s="2" t="s">
        <v>100</v>
      </c>
      <c r="D5" s="2" t="e">
        <f>HLOOKUP($D$4,Comment!$C$2:$XFD$6,2,FALSE)</f>
        <v>#REF!</v>
      </c>
      <c r="K5" s="6" t="s">
        <v>86</v>
      </c>
      <c r="L5" s="2" t="s">
        <v>100</v>
      </c>
      <c r="M5" s="96" t="e">
        <f>HLOOKUP($D$4,Comment!$C$2:$XFD$6,4,FALSE)</f>
        <v>#REF!</v>
      </c>
    </row>
    <row r="6" spans="2:14" ht="25.05" customHeight="1" x14ac:dyDescent="0.3">
      <c r="B6" s="6" t="s">
        <v>2</v>
      </c>
      <c r="C6" s="2" t="s">
        <v>100</v>
      </c>
      <c r="D6" s="2" t="e">
        <f>UPPER(VLOOKUP($D$4,'Name List'!$B$3:$B$1000,2,FALSE))</f>
        <v>#REF!</v>
      </c>
      <c r="K6" s="6" t="s">
        <v>3</v>
      </c>
      <c r="L6" s="2" t="s">
        <v>100</v>
      </c>
      <c r="M6" s="2" t="s">
        <v>134</v>
      </c>
    </row>
    <row r="7" spans="2:14" ht="25.05" customHeight="1" x14ac:dyDescent="0.3">
      <c r="B7" s="97" t="str">
        <f>"Period under review     :    "&amp;TEXT('Setting Page'!$B$7,"dd mmmm yyyy") &amp;" to "&amp;TEXT('Setting Page'!$B$10, "dd mmmm yyyy")</f>
        <v>Period under review     :    01 July 2021 to 30 June 2022</v>
      </c>
      <c r="C7" s="97"/>
      <c r="D7" s="95"/>
      <c r="E7" s="95"/>
      <c r="F7" s="95"/>
      <c r="G7" s="95"/>
      <c r="H7" s="95"/>
      <c r="I7" s="96"/>
      <c r="J7" s="95"/>
      <c r="K7" s="241"/>
      <c r="L7" s="241"/>
      <c r="M7" s="241"/>
    </row>
    <row r="8" spans="2:14" ht="10.050000000000001" customHeight="1" thickBot="1" x14ac:dyDescent="0.35">
      <c r="B8" s="6"/>
    </row>
    <row r="9" spans="2:14" ht="10.050000000000001" customHeight="1" x14ac:dyDescent="0.3">
      <c r="B9" s="3"/>
      <c r="C9" s="10"/>
      <c r="D9" s="10"/>
      <c r="E9" s="10"/>
      <c r="F9" s="10"/>
      <c r="G9" s="10"/>
      <c r="H9" s="10"/>
      <c r="I9" s="10"/>
      <c r="J9" s="10"/>
      <c r="K9" s="10"/>
      <c r="L9" s="10"/>
      <c r="M9" s="10"/>
      <c r="N9" s="11"/>
    </row>
    <row r="10" spans="2:14" ht="15" x14ac:dyDescent="0.3">
      <c r="B10" s="40" t="s">
        <v>89</v>
      </c>
      <c r="C10" s="41" t="s">
        <v>88</v>
      </c>
      <c r="D10" s="23"/>
      <c r="E10" s="2"/>
      <c r="F10" s="2"/>
      <c r="G10" s="2"/>
      <c r="H10" s="2"/>
      <c r="I10" s="2"/>
      <c r="J10" s="2"/>
      <c r="K10" s="2"/>
      <c r="L10" s="2"/>
      <c r="M10" s="2"/>
      <c r="N10" s="14"/>
    </row>
    <row r="11" spans="2:14" ht="26.25" customHeight="1" x14ac:dyDescent="0.3">
      <c r="B11" s="12"/>
      <c r="C11" s="240" t="s">
        <v>87</v>
      </c>
      <c r="D11" s="240"/>
      <c r="E11" s="240"/>
      <c r="F11" s="240"/>
      <c r="G11" s="240"/>
      <c r="H11" s="240"/>
      <c r="I11" s="240"/>
      <c r="J11" s="240"/>
      <c r="K11" s="240"/>
      <c r="L11" s="240"/>
      <c r="M11" s="240"/>
      <c r="N11" s="14"/>
    </row>
    <row r="12" spans="2:14" ht="10.050000000000001" customHeight="1" thickBot="1" x14ac:dyDescent="0.35">
      <c r="B12" s="4"/>
      <c r="C12" s="18"/>
      <c r="D12" s="7"/>
      <c r="E12" s="7"/>
      <c r="F12" s="7"/>
      <c r="G12" s="7"/>
      <c r="H12" s="7"/>
      <c r="I12" s="7"/>
      <c r="J12" s="7"/>
      <c r="K12" s="7"/>
      <c r="L12" s="7"/>
      <c r="M12" s="7"/>
      <c r="N12" s="17"/>
    </row>
    <row r="13" spans="2:14" x14ac:dyDescent="0.3">
      <c r="B13" s="3"/>
      <c r="C13" s="9"/>
      <c r="D13" s="10"/>
      <c r="E13" s="10"/>
      <c r="F13" s="10"/>
      <c r="G13" s="10"/>
      <c r="H13" s="10"/>
      <c r="I13" s="10"/>
      <c r="J13" s="10"/>
      <c r="K13" s="10"/>
      <c r="L13" s="10"/>
      <c r="M13" s="10"/>
      <c r="N13" s="11"/>
    </row>
    <row r="14" spans="2:14" x14ac:dyDescent="0.3">
      <c r="B14" s="22" t="s">
        <v>90</v>
      </c>
      <c r="C14" s="20" t="s">
        <v>81</v>
      </c>
      <c r="D14" s="2"/>
      <c r="E14" s="2"/>
      <c r="F14" s="2"/>
      <c r="G14" s="2"/>
      <c r="H14" s="2"/>
      <c r="I14" s="2"/>
      <c r="J14" s="2"/>
      <c r="K14" s="2"/>
      <c r="L14" s="2"/>
      <c r="M14" s="2"/>
      <c r="N14" s="14"/>
    </row>
    <row r="15" spans="2:14" ht="33.75" customHeight="1" thickBot="1" x14ac:dyDescent="0.35">
      <c r="B15" s="15"/>
      <c r="C15" s="236" t="s">
        <v>94</v>
      </c>
      <c r="D15" s="236"/>
      <c r="E15" s="236"/>
      <c r="F15" s="236"/>
      <c r="G15" s="236"/>
      <c r="H15" s="236"/>
      <c r="I15" s="236"/>
      <c r="J15" s="236"/>
      <c r="K15" s="236"/>
      <c r="L15" s="236"/>
      <c r="M15" s="236"/>
      <c r="N15" s="14"/>
    </row>
    <row r="16" spans="2:14" ht="15" x14ac:dyDescent="0.3">
      <c r="B16" s="8"/>
      <c r="C16" s="9"/>
      <c r="D16" s="10"/>
      <c r="E16" s="10"/>
      <c r="F16" s="10"/>
      <c r="G16" s="10"/>
      <c r="H16" s="10"/>
      <c r="I16" s="25" t="s">
        <v>99</v>
      </c>
      <c r="J16" s="11"/>
      <c r="K16" s="3"/>
      <c r="L16" s="237" t="s">
        <v>101</v>
      </c>
      <c r="M16" s="237"/>
      <c r="N16" s="11"/>
    </row>
    <row r="17" spans="2:14" ht="15.75" customHeight="1" thickBot="1" x14ac:dyDescent="0.35">
      <c r="B17" s="15"/>
      <c r="C17" s="13"/>
      <c r="D17" s="2"/>
      <c r="E17" s="2"/>
      <c r="F17" s="2"/>
      <c r="G17" s="2"/>
      <c r="H17" s="2"/>
      <c r="I17" s="2"/>
      <c r="J17" s="14"/>
      <c r="K17" s="230" t="str">
        <f>INDEX(Comment!$C$10:$XFD$32,MATCH(Template1!$C$14,Comment!$B$10:$B$32,0)+1,MATCH(Template1!$D$4,Comment!$C$2:$XFD$2,0))</f>
        <v>NIL</v>
      </c>
      <c r="L17" s="231"/>
      <c r="M17" s="231"/>
      <c r="N17" s="232"/>
    </row>
    <row r="18" spans="2:14" ht="30" customHeight="1" thickBot="1" x14ac:dyDescent="0.35">
      <c r="B18" s="12"/>
      <c r="C18" s="56" t="s">
        <v>22</v>
      </c>
      <c r="D18" s="225" t="s">
        <v>23</v>
      </c>
      <c r="E18" s="225"/>
      <c r="F18" s="16"/>
      <c r="G18" s="16"/>
      <c r="H18" s="2"/>
      <c r="I18" s="52">
        <f>INDEX(Score!$C$20:$XFD$80,MATCH(Template1!$D$18,Score!$B$20:$B$80,0),MATCH(Template1!$D$4,Score!$C$5:$XFD$5,0))</f>
        <v>0</v>
      </c>
      <c r="J18" s="14"/>
      <c r="K18" s="230"/>
      <c r="L18" s="231"/>
      <c r="M18" s="231"/>
      <c r="N18" s="232"/>
    </row>
    <row r="19" spans="2:14" ht="7.05" customHeight="1" thickBot="1" x14ac:dyDescent="0.35">
      <c r="B19" s="12"/>
      <c r="C19" s="56"/>
      <c r="D19" s="57"/>
      <c r="E19" s="57"/>
      <c r="F19" s="16"/>
      <c r="G19" s="16"/>
      <c r="H19" s="2"/>
      <c r="I19" s="2"/>
      <c r="J19" s="14"/>
      <c r="K19" s="230"/>
      <c r="L19" s="231"/>
      <c r="M19" s="231"/>
      <c r="N19" s="232"/>
    </row>
    <row r="20" spans="2:14" ht="30" customHeight="1" thickBot="1" x14ac:dyDescent="0.35">
      <c r="B20" s="12"/>
      <c r="C20" s="56" t="s">
        <v>24</v>
      </c>
      <c r="D20" s="225" t="s">
        <v>25</v>
      </c>
      <c r="E20" s="225"/>
      <c r="F20" s="16"/>
      <c r="G20" s="16"/>
      <c r="H20" s="2"/>
      <c r="I20" s="52">
        <f>INDEX(Score!$C$20:$XFD$80,MATCH(Template1!$D$20,Score!$B$20:$B$80,0),MATCH(Template1!$D$4,Score!$C$5:$XFD$5,0))</f>
        <v>0</v>
      </c>
      <c r="J20" s="14"/>
      <c r="K20" s="230"/>
      <c r="L20" s="231"/>
      <c r="M20" s="231"/>
      <c r="N20" s="232"/>
    </row>
    <row r="21" spans="2:14" ht="7.05" customHeight="1" thickBot="1" x14ac:dyDescent="0.35">
      <c r="B21" s="12"/>
      <c r="C21" s="56"/>
      <c r="D21" s="57"/>
      <c r="E21" s="57"/>
      <c r="F21" s="16"/>
      <c r="G21" s="16"/>
      <c r="H21" s="2"/>
      <c r="I21" s="2"/>
      <c r="J21" s="14"/>
      <c r="K21" s="230"/>
      <c r="L21" s="231"/>
      <c r="M21" s="231"/>
      <c r="N21" s="232"/>
    </row>
    <row r="22" spans="2:14" ht="30" customHeight="1" thickBot="1" x14ac:dyDescent="0.35">
      <c r="B22" s="12"/>
      <c r="C22" s="56" t="s">
        <v>26</v>
      </c>
      <c r="D22" s="225" t="s">
        <v>27</v>
      </c>
      <c r="E22" s="225"/>
      <c r="F22" s="16"/>
      <c r="G22" s="16"/>
      <c r="H22" s="2"/>
      <c r="I22" s="52">
        <f>INDEX(Score!$C$20:$XFD$80,MATCH(Template1!$D$22,Score!$B$20:$B$80,0),MATCH(Template1!$D$4,Score!$C$5:$XFD$5,0))</f>
        <v>0</v>
      </c>
      <c r="J22" s="14"/>
      <c r="K22" s="230"/>
      <c r="L22" s="231"/>
      <c r="M22" s="231"/>
      <c r="N22" s="232"/>
    </row>
    <row r="23" spans="2:14" ht="7.05" customHeight="1" thickBot="1" x14ac:dyDescent="0.35">
      <c r="B23" s="12"/>
      <c r="C23" s="56"/>
      <c r="D23" s="57"/>
      <c r="E23" s="57"/>
      <c r="F23" s="16"/>
      <c r="G23" s="16"/>
      <c r="H23" s="2"/>
      <c r="I23" s="2"/>
      <c r="J23" s="14"/>
      <c r="K23" s="230"/>
      <c r="L23" s="231"/>
      <c r="M23" s="231"/>
      <c r="N23" s="232"/>
    </row>
    <row r="24" spans="2:14" ht="30" customHeight="1" thickBot="1" x14ac:dyDescent="0.35">
      <c r="B24" s="12"/>
      <c r="C24" s="56" t="s">
        <v>28</v>
      </c>
      <c r="D24" s="225" t="s">
        <v>29</v>
      </c>
      <c r="E24" s="225"/>
      <c r="F24" s="16"/>
      <c r="G24" s="16"/>
      <c r="H24" s="2"/>
      <c r="I24" s="52">
        <f>INDEX(Score!$C$20:$XFD$80,MATCH(Template1!$D$24,Score!$B$20:$B$80,0),MATCH(Template1!$D$4,Score!$C$5:$XFD$5,0))</f>
        <v>0</v>
      </c>
      <c r="J24" s="14"/>
      <c r="K24" s="230"/>
      <c r="L24" s="231"/>
      <c r="M24" s="231"/>
      <c r="N24" s="232"/>
    </row>
    <row r="25" spans="2:14" ht="7.05" customHeight="1" thickBot="1" x14ac:dyDescent="0.35">
      <c r="B25" s="12"/>
      <c r="C25" s="56"/>
      <c r="D25" s="57"/>
      <c r="E25" s="57"/>
      <c r="F25" s="16"/>
      <c r="G25" s="16"/>
      <c r="H25" s="2"/>
      <c r="I25" s="2"/>
      <c r="J25" s="14"/>
      <c r="K25" s="230"/>
      <c r="L25" s="231"/>
      <c r="M25" s="231"/>
      <c r="N25" s="232"/>
    </row>
    <row r="26" spans="2:14" ht="30" customHeight="1" thickBot="1" x14ac:dyDescent="0.35">
      <c r="B26" s="12"/>
      <c r="C26" s="56" t="s">
        <v>30</v>
      </c>
      <c r="D26" s="225" t="s">
        <v>31</v>
      </c>
      <c r="E26" s="225"/>
      <c r="F26" s="16"/>
      <c r="G26" s="16"/>
      <c r="H26" s="2"/>
      <c r="I26" s="52">
        <f>INDEX(Score!$C$20:$XFD$80,MATCH(Template1!$D$26,Score!$B$20:$B$80,0),MATCH(Template1!$D$4,Score!$C$5:$XFD$5,0))</f>
        <v>0</v>
      </c>
      <c r="J26" s="14"/>
      <c r="K26" s="230"/>
      <c r="L26" s="231"/>
      <c r="M26" s="231"/>
      <c r="N26" s="232"/>
    </row>
    <row r="27" spans="2:14" ht="10.050000000000001" customHeight="1" thickBot="1" x14ac:dyDescent="0.35">
      <c r="B27" s="12"/>
      <c r="C27" s="2"/>
      <c r="D27" s="2"/>
      <c r="E27" s="2"/>
      <c r="F27" s="2"/>
      <c r="G27" s="2"/>
      <c r="H27" s="2"/>
      <c r="I27" s="2"/>
      <c r="J27" s="14"/>
      <c r="K27" s="230"/>
      <c r="L27" s="231"/>
      <c r="M27" s="231"/>
      <c r="N27" s="232"/>
    </row>
    <row r="28" spans="2:14" ht="30" customHeight="1" thickTop="1" thickBot="1" x14ac:dyDescent="0.35">
      <c r="B28" s="12"/>
      <c r="C28" s="2"/>
      <c r="D28" s="2" t="s">
        <v>91</v>
      </c>
      <c r="E28" s="54">
        <f>SUM($I$18,$I$20,$I$22,$I$24,$I$26)</f>
        <v>0</v>
      </c>
      <c r="F28" s="2"/>
      <c r="G28" s="2" t="s">
        <v>98</v>
      </c>
      <c r="H28" s="2"/>
      <c r="I28" s="53">
        <f>$E$28/5</f>
        <v>0</v>
      </c>
      <c r="J28" s="14"/>
      <c r="K28" s="230"/>
      <c r="L28" s="231"/>
      <c r="M28" s="231"/>
      <c r="N28" s="232"/>
    </row>
    <row r="29" spans="2:14" ht="10.050000000000001" customHeight="1" thickBot="1" x14ac:dyDescent="0.35">
      <c r="B29" s="4"/>
      <c r="C29" s="7"/>
      <c r="D29" s="7"/>
      <c r="E29" s="7"/>
      <c r="F29" s="7"/>
      <c r="G29" s="7"/>
      <c r="H29" s="7"/>
      <c r="I29" s="7"/>
      <c r="J29" s="17"/>
      <c r="K29" s="233"/>
      <c r="L29" s="234"/>
      <c r="M29" s="234"/>
      <c r="N29" s="235"/>
    </row>
    <row r="30" spans="2:14" ht="10.050000000000001" customHeight="1" x14ac:dyDescent="0.3">
      <c r="B30" s="3"/>
      <c r="C30" s="10"/>
      <c r="D30" s="10"/>
      <c r="E30" s="10"/>
      <c r="F30" s="10"/>
      <c r="G30" s="10"/>
      <c r="H30" s="10"/>
      <c r="I30" s="10"/>
      <c r="J30" s="10"/>
      <c r="K30" s="10"/>
      <c r="L30" s="10"/>
      <c r="M30" s="10"/>
      <c r="N30" s="11"/>
    </row>
    <row r="31" spans="2:14" ht="15" customHeight="1" x14ac:dyDescent="0.3">
      <c r="B31" s="22" t="s">
        <v>92</v>
      </c>
      <c r="C31" s="20" t="s">
        <v>82</v>
      </c>
      <c r="D31" s="2"/>
      <c r="E31" s="2"/>
      <c r="F31" s="2"/>
      <c r="G31" s="2"/>
      <c r="H31" s="2"/>
      <c r="I31" s="2"/>
      <c r="J31" s="2"/>
      <c r="K31" s="2"/>
      <c r="L31" s="2"/>
      <c r="M31" s="2"/>
      <c r="N31" s="14"/>
    </row>
    <row r="32" spans="2:14" ht="15" customHeight="1" thickBot="1" x14ac:dyDescent="0.35">
      <c r="B32" s="15"/>
      <c r="C32" s="242" t="s">
        <v>95</v>
      </c>
      <c r="D32" s="242"/>
      <c r="E32" s="242"/>
      <c r="F32" s="242"/>
      <c r="G32" s="242"/>
      <c r="H32" s="242"/>
      <c r="I32" s="242"/>
      <c r="J32" s="242"/>
      <c r="K32" s="242"/>
      <c r="L32" s="242"/>
      <c r="M32" s="242"/>
      <c r="N32" s="14"/>
    </row>
    <row r="33" spans="2:14" ht="7.05" customHeight="1" thickBot="1" x14ac:dyDescent="0.35">
      <c r="B33" s="8"/>
      <c r="C33" s="9"/>
      <c r="D33" s="10"/>
      <c r="E33" s="10"/>
      <c r="F33" s="10"/>
      <c r="G33" s="10"/>
      <c r="H33" s="10"/>
      <c r="I33" s="10"/>
      <c r="J33" s="10"/>
      <c r="K33" s="227" t="str">
        <f>INDEX(Comment!$C$11:$XFD$32,MATCH(Template1!$C$31,Comment!$B$10:$B$32,0),MATCH(Template1!$D$4,Comment!$C$2:$XFD$2,0))</f>
        <v>NIL</v>
      </c>
      <c r="L33" s="228"/>
      <c r="M33" s="228"/>
      <c r="N33" s="229"/>
    </row>
    <row r="34" spans="2:14" ht="30" customHeight="1" thickBot="1" x14ac:dyDescent="0.35">
      <c r="B34" s="12"/>
      <c r="C34" s="56" t="s">
        <v>22</v>
      </c>
      <c r="D34" s="225" t="s">
        <v>34</v>
      </c>
      <c r="E34" s="225"/>
      <c r="F34" s="16"/>
      <c r="G34" s="16"/>
      <c r="H34" s="2"/>
      <c r="I34" s="52">
        <f>INDEX(Score!$C$20:$XFD$80,MATCH(Template1!$D$34,Score!$B$20:$B$80,0),MATCH(Template1!$D$4,Score!$C$5:$XFD$5,0))</f>
        <v>0</v>
      </c>
      <c r="J34" s="2"/>
      <c r="K34" s="230"/>
      <c r="L34" s="231"/>
      <c r="M34" s="231"/>
      <c r="N34" s="232"/>
    </row>
    <row r="35" spans="2:14" ht="7.05" customHeight="1" thickBot="1" x14ac:dyDescent="0.35">
      <c r="B35" s="12"/>
      <c r="C35" s="56"/>
      <c r="D35" s="57"/>
      <c r="E35" s="57"/>
      <c r="F35" s="16"/>
      <c r="G35" s="16"/>
      <c r="H35" s="2"/>
      <c r="I35" s="2"/>
      <c r="J35" s="2"/>
      <c r="K35" s="230"/>
      <c r="L35" s="231"/>
      <c r="M35" s="231"/>
      <c r="N35" s="232"/>
    </row>
    <row r="36" spans="2:14" ht="30" customHeight="1" thickBot="1" x14ac:dyDescent="0.35">
      <c r="B36" s="12"/>
      <c r="C36" s="56" t="s">
        <v>24</v>
      </c>
      <c r="D36" s="225" t="s">
        <v>35</v>
      </c>
      <c r="E36" s="225"/>
      <c r="F36" s="16"/>
      <c r="G36" s="16"/>
      <c r="H36" s="2"/>
      <c r="I36" s="52">
        <f>INDEX(Score!$C$20:$XFD$80,MATCH(Template1!$D$36,Score!$B$20:$B$80,0),MATCH(Template1!$D$4,Score!$C$5:$XFD$5,0))</f>
        <v>0</v>
      </c>
      <c r="J36" s="2"/>
      <c r="K36" s="230"/>
      <c r="L36" s="231"/>
      <c r="M36" s="231"/>
      <c r="N36" s="232"/>
    </row>
    <row r="37" spans="2:14" ht="7.05" customHeight="1" thickBot="1" x14ac:dyDescent="0.35">
      <c r="B37" s="12"/>
      <c r="C37" s="56"/>
      <c r="D37" s="57"/>
      <c r="E37" s="57"/>
      <c r="F37" s="16"/>
      <c r="G37" s="16"/>
      <c r="H37" s="2"/>
      <c r="I37" s="2"/>
      <c r="J37" s="2"/>
      <c r="K37" s="230"/>
      <c r="L37" s="231"/>
      <c r="M37" s="231"/>
      <c r="N37" s="232"/>
    </row>
    <row r="38" spans="2:14" ht="30" customHeight="1" thickBot="1" x14ac:dyDescent="0.35">
      <c r="B38" s="12"/>
      <c r="C38" s="56" t="s">
        <v>26</v>
      </c>
      <c r="D38" s="225" t="s">
        <v>36</v>
      </c>
      <c r="E38" s="225"/>
      <c r="F38" s="16"/>
      <c r="G38" s="16"/>
      <c r="H38" s="2"/>
      <c r="I38" s="52">
        <f>INDEX(Score!$C$20:$XFD$80,MATCH(Template1!$D$38,Score!$B$20:$B$80,0),MATCH(Template1!$D$4,Score!$C$5:$XFD$5,0))</f>
        <v>0</v>
      </c>
      <c r="J38" s="2"/>
      <c r="K38" s="230"/>
      <c r="L38" s="231"/>
      <c r="M38" s="231"/>
      <c r="N38" s="232"/>
    </row>
    <row r="39" spans="2:14" ht="10.050000000000001" customHeight="1" thickBot="1" x14ac:dyDescent="0.35">
      <c r="B39" s="12"/>
      <c r="C39" s="2"/>
      <c r="D39" s="2"/>
      <c r="E39" s="2"/>
      <c r="F39" s="2"/>
      <c r="G39" s="2"/>
      <c r="H39" s="2"/>
      <c r="I39" s="2"/>
      <c r="J39" s="2"/>
      <c r="K39" s="230"/>
      <c r="L39" s="231"/>
      <c r="M39" s="231"/>
      <c r="N39" s="232"/>
    </row>
    <row r="40" spans="2:14" ht="30" customHeight="1" thickTop="1" thickBot="1" x14ac:dyDescent="0.35">
      <c r="B40" s="12"/>
      <c r="C40" s="2"/>
      <c r="D40" s="2" t="s">
        <v>91</v>
      </c>
      <c r="E40" s="54">
        <f>SUM($I$34,$I$36,$I$38)</f>
        <v>0</v>
      </c>
      <c r="F40" s="2"/>
      <c r="G40" s="2" t="s">
        <v>97</v>
      </c>
      <c r="H40" s="2"/>
      <c r="I40" s="53">
        <f>$E$40/3</f>
        <v>0</v>
      </c>
      <c r="J40" s="2"/>
      <c r="K40" s="230"/>
      <c r="L40" s="231"/>
      <c r="M40" s="231"/>
      <c r="N40" s="232"/>
    </row>
    <row r="41" spans="2:14" ht="10.050000000000001" customHeight="1" thickBot="1" x14ac:dyDescent="0.35">
      <c r="B41" s="4"/>
      <c r="C41" s="7"/>
      <c r="D41" s="7"/>
      <c r="E41" s="7"/>
      <c r="F41" s="7"/>
      <c r="G41" s="7"/>
      <c r="H41" s="7"/>
      <c r="I41" s="7"/>
      <c r="J41" s="7"/>
      <c r="K41" s="233"/>
      <c r="L41" s="234"/>
      <c r="M41" s="234"/>
      <c r="N41" s="235"/>
    </row>
    <row r="42" spans="2:14" ht="10.050000000000001" customHeight="1" x14ac:dyDescent="0.3">
      <c r="B42" s="3"/>
      <c r="C42" s="10"/>
      <c r="D42" s="10"/>
      <c r="E42" s="10"/>
      <c r="F42" s="10"/>
      <c r="G42" s="10"/>
      <c r="H42" s="10"/>
      <c r="I42" s="10"/>
      <c r="J42" s="10"/>
      <c r="K42" s="10"/>
      <c r="L42" s="10"/>
      <c r="M42" s="10"/>
      <c r="N42" s="11"/>
    </row>
    <row r="43" spans="2:14" x14ac:dyDescent="0.3">
      <c r="B43" s="22" t="s">
        <v>93</v>
      </c>
      <c r="C43" s="20" t="s">
        <v>137</v>
      </c>
      <c r="D43" s="23"/>
      <c r="E43" s="2"/>
      <c r="F43" s="2"/>
      <c r="G43" s="2"/>
      <c r="H43" s="2"/>
      <c r="I43" s="2"/>
      <c r="J43" s="2"/>
      <c r="K43" s="2"/>
      <c r="L43" s="2"/>
      <c r="M43" s="2"/>
      <c r="N43" s="14"/>
    </row>
    <row r="44" spans="2:14" ht="44.25" customHeight="1" thickBot="1" x14ac:dyDescent="0.35">
      <c r="B44" s="26"/>
      <c r="C44" s="226" t="s">
        <v>96</v>
      </c>
      <c r="D44" s="226"/>
      <c r="E44" s="226"/>
      <c r="F44" s="226"/>
      <c r="G44" s="226"/>
      <c r="H44" s="226"/>
      <c r="I44" s="226"/>
      <c r="J44" s="226"/>
      <c r="K44" s="226"/>
      <c r="L44" s="226"/>
      <c r="M44" s="226"/>
      <c r="N44" s="17"/>
    </row>
    <row r="45" spans="2:14" ht="7.05" customHeight="1" thickBot="1" x14ac:dyDescent="0.35">
      <c r="B45" s="15"/>
      <c r="C45" s="13"/>
      <c r="D45" s="2"/>
      <c r="E45" s="2"/>
      <c r="F45" s="2"/>
      <c r="G45" s="2"/>
      <c r="H45" s="2"/>
      <c r="I45" s="2"/>
      <c r="J45" s="2"/>
      <c r="K45" s="227" t="str">
        <f>INDEX(Comment!$C$11:$XFD$32,MATCH(Template1!$C$43,Comment!$B$10:$B$32,0),MATCH(Template1!$D$4,Comment!$C$2:$XFD$2,0))</f>
        <v>NIL</v>
      </c>
      <c r="L45" s="228"/>
      <c r="M45" s="228"/>
      <c r="N45" s="229"/>
    </row>
    <row r="46" spans="2:14" ht="30" customHeight="1" thickBot="1" x14ac:dyDescent="0.35">
      <c r="B46" s="12"/>
      <c r="C46" s="56" t="s">
        <v>22</v>
      </c>
      <c r="D46" s="225" t="s">
        <v>37</v>
      </c>
      <c r="E46" s="225"/>
      <c r="F46" s="16"/>
      <c r="G46" s="16"/>
      <c r="H46" s="2"/>
      <c r="I46" s="52">
        <f>INDEX(Score!$C$20:$XFD$80,MATCH(Template1!$D$46,Score!$B$20:$B$80,0),MATCH(Template1!$D$4,Score!$C$5:$XFD$5,0))</f>
        <v>0</v>
      </c>
      <c r="J46" s="2"/>
      <c r="K46" s="230"/>
      <c r="L46" s="231"/>
      <c r="M46" s="231"/>
      <c r="N46" s="232"/>
    </row>
    <row r="47" spans="2:14" ht="7.05" customHeight="1" thickBot="1" x14ac:dyDescent="0.35">
      <c r="B47" s="12"/>
      <c r="C47" s="56"/>
      <c r="D47" s="57"/>
      <c r="E47" s="57"/>
      <c r="F47" s="16"/>
      <c r="G47" s="16"/>
      <c r="H47" s="2"/>
      <c r="I47" s="2"/>
      <c r="J47" s="2"/>
      <c r="K47" s="230"/>
      <c r="L47" s="231"/>
      <c r="M47" s="231"/>
      <c r="N47" s="232"/>
    </row>
    <row r="48" spans="2:14" ht="30" customHeight="1" thickBot="1" x14ac:dyDescent="0.35">
      <c r="B48" s="12"/>
      <c r="C48" s="56" t="s">
        <v>24</v>
      </c>
      <c r="D48" s="225" t="s">
        <v>38</v>
      </c>
      <c r="E48" s="225"/>
      <c r="F48" s="16"/>
      <c r="G48" s="16"/>
      <c r="H48" s="2"/>
      <c r="I48" s="52">
        <f>INDEX(Score!$C$20:$XFD$80,MATCH(Template1!$D$48,Score!$B$20:$B$80,0),MATCH(Template1!$D$4,Score!$C$5:$XFD$5,0))</f>
        <v>0</v>
      </c>
      <c r="J48" s="2"/>
      <c r="K48" s="230"/>
      <c r="L48" s="231"/>
      <c r="M48" s="231"/>
      <c r="N48" s="232"/>
    </row>
    <row r="49" spans="2:14" ht="7.05" customHeight="1" thickBot="1" x14ac:dyDescent="0.35">
      <c r="B49" s="12"/>
      <c r="C49" s="56"/>
      <c r="D49" s="57"/>
      <c r="E49" s="57"/>
      <c r="F49" s="16"/>
      <c r="G49" s="16"/>
      <c r="H49" s="2"/>
      <c r="I49" s="2"/>
      <c r="J49" s="2"/>
      <c r="K49" s="230"/>
      <c r="L49" s="231"/>
      <c r="M49" s="231"/>
      <c r="N49" s="232"/>
    </row>
    <row r="50" spans="2:14" ht="30" customHeight="1" thickBot="1" x14ac:dyDescent="0.35">
      <c r="B50" s="12"/>
      <c r="C50" s="56" t="s">
        <v>26</v>
      </c>
      <c r="D50" s="225" t="s">
        <v>39</v>
      </c>
      <c r="E50" s="225"/>
      <c r="F50" s="16"/>
      <c r="G50" s="16"/>
      <c r="H50" s="2"/>
      <c r="I50" s="52">
        <f>INDEX(Score!$C$20:$XFD$80,MATCH(Template1!$D$50,Score!$B$20:$B$80,0),MATCH(Template1!$D$4,Score!$C$5:$XFD$5,0))</f>
        <v>0</v>
      </c>
      <c r="J50" s="2"/>
      <c r="K50" s="230"/>
      <c r="L50" s="231"/>
      <c r="M50" s="231"/>
      <c r="N50" s="232"/>
    </row>
    <row r="51" spans="2:14" ht="10.050000000000001" customHeight="1" thickBot="1" x14ac:dyDescent="0.35">
      <c r="B51" s="12"/>
      <c r="C51" s="2"/>
      <c r="D51" s="2"/>
      <c r="E51" s="2"/>
      <c r="F51" s="2"/>
      <c r="G51" s="2"/>
      <c r="H51" s="2"/>
      <c r="I51" s="2"/>
      <c r="J51" s="2"/>
      <c r="K51" s="230"/>
      <c r="L51" s="231"/>
      <c r="M51" s="231"/>
      <c r="N51" s="232"/>
    </row>
    <row r="52" spans="2:14" ht="30" customHeight="1" thickTop="1" thickBot="1" x14ac:dyDescent="0.35">
      <c r="B52" s="12"/>
      <c r="C52" s="2"/>
      <c r="D52" s="2" t="s">
        <v>91</v>
      </c>
      <c r="E52" s="54">
        <f>SUM($I$46,$I$48,$I$50)</f>
        <v>0</v>
      </c>
      <c r="F52" s="2"/>
      <c r="G52" s="2" t="s">
        <v>97</v>
      </c>
      <c r="H52" s="2"/>
      <c r="I52" s="53">
        <f>$E$52/3</f>
        <v>0</v>
      </c>
      <c r="J52" s="2"/>
      <c r="K52" s="230"/>
      <c r="L52" s="231"/>
      <c r="M52" s="231"/>
      <c r="N52" s="232"/>
    </row>
    <row r="53" spans="2:14" ht="10.050000000000001" customHeight="1" thickBot="1" x14ac:dyDescent="0.35">
      <c r="B53" s="4"/>
      <c r="C53" s="7"/>
      <c r="D53" s="7"/>
      <c r="E53" s="7"/>
      <c r="F53" s="7"/>
      <c r="G53" s="7"/>
      <c r="H53" s="7"/>
      <c r="I53" s="7"/>
      <c r="J53" s="7"/>
      <c r="K53" s="233"/>
      <c r="L53" s="234"/>
      <c r="M53" s="234"/>
      <c r="N53" s="235"/>
    </row>
  </sheetData>
  <mergeCells count="22">
    <mergeCell ref="C32:M32"/>
    <mergeCell ref="K33:N41"/>
    <mergeCell ref="D22:E22"/>
    <mergeCell ref="D20:E20"/>
    <mergeCell ref="D18:E18"/>
    <mergeCell ref="D34:E34"/>
    <mergeCell ref="C15:M15"/>
    <mergeCell ref="L16:M16"/>
    <mergeCell ref="K17:N29"/>
    <mergeCell ref="D2:M2"/>
    <mergeCell ref="D3:M3"/>
    <mergeCell ref="D26:E26"/>
    <mergeCell ref="D24:E24"/>
    <mergeCell ref="C11:M11"/>
    <mergeCell ref="K7:M7"/>
    <mergeCell ref="D46:E46"/>
    <mergeCell ref="D48:E48"/>
    <mergeCell ref="D50:E50"/>
    <mergeCell ref="D38:E38"/>
    <mergeCell ref="D36:E36"/>
    <mergeCell ref="C44:M44"/>
    <mergeCell ref="K45:N53"/>
  </mergeCells>
  <pageMargins left="0.7" right="0.7" top="0.75" bottom="0.75" header="0.3" footer="0.3"/>
  <pageSetup paperSize="9" scale="51" orientation="landscape" verticalDpi="0" r:id="rId1"/>
  <ignoredErrors>
    <ignoredError sqref="B10 B14 B31 B43" numberStoredAsText="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2:N52"/>
  <sheetViews>
    <sheetView showGridLines="0" topLeftCell="A41" zoomScale="85" zoomScaleNormal="85" workbookViewId="0">
      <selection activeCell="K53" sqref="K53"/>
    </sheetView>
  </sheetViews>
  <sheetFormatPr defaultColWidth="9.21875" defaultRowHeight="13.2" x14ac:dyDescent="0.3"/>
  <cols>
    <col min="1" max="1" width="0.77734375" style="1" customWidth="1"/>
    <col min="2" max="2" width="4.44140625" style="1" bestFit="1" customWidth="1"/>
    <col min="3" max="3" width="2.77734375" style="1" customWidth="1"/>
    <col min="4" max="4" width="33.21875" style="1" customWidth="1"/>
    <col min="5" max="5" width="9.21875" style="1" customWidth="1"/>
    <col min="6" max="6" width="1.21875" style="1" customWidth="1"/>
    <col min="7" max="7" width="4.77734375" style="1" customWidth="1"/>
    <col min="8" max="8" width="1.5546875" style="1" customWidth="1"/>
    <col min="9" max="9" width="7.77734375" style="1" customWidth="1"/>
    <col min="10" max="10" width="2.44140625" style="1" customWidth="1"/>
    <col min="11" max="11" width="11.77734375" style="1" bestFit="1" customWidth="1"/>
    <col min="12" max="12" width="2.77734375" style="1" customWidth="1"/>
    <col min="13" max="13" width="33.21875" style="1" customWidth="1"/>
    <col min="14" max="16384" width="9.21875" style="1"/>
  </cols>
  <sheetData>
    <row r="2" spans="2:14" ht="14.4" thickBot="1" x14ac:dyDescent="0.35">
      <c r="B2" s="6"/>
    </row>
    <row r="3" spans="2:14" x14ac:dyDescent="0.3">
      <c r="B3" s="3"/>
      <c r="C3" s="9"/>
      <c r="D3" s="10"/>
      <c r="E3" s="10"/>
      <c r="F3" s="10"/>
      <c r="G3" s="10"/>
      <c r="H3" s="10"/>
      <c r="I3" s="10"/>
      <c r="J3" s="10"/>
      <c r="K3" s="10"/>
      <c r="L3" s="10"/>
      <c r="M3" s="10"/>
      <c r="N3" s="11"/>
    </row>
    <row r="4" spans="2:14" x14ac:dyDescent="0.3">
      <c r="B4" s="22">
        <v>1.4</v>
      </c>
      <c r="C4" s="20" t="s">
        <v>12</v>
      </c>
      <c r="D4" s="2"/>
      <c r="E4" s="2"/>
      <c r="F4" s="2"/>
      <c r="G4" s="2"/>
      <c r="H4" s="2"/>
      <c r="I4" s="2"/>
      <c r="J4" s="2"/>
      <c r="K4" s="2"/>
      <c r="L4" s="2"/>
      <c r="M4" s="2"/>
      <c r="N4" s="14"/>
    </row>
    <row r="5" spans="2:14" ht="30.75" customHeight="1" thickBot="1" x14ac:dyDescent="0.35">
      <c r="B5" s="26"/>
      <c r="C5" s="244" t="s">
        <v>129</v>
      </c>
      <c r="D5" s="244"/>
      <c r="E5" s="244"/>
      <c r="F5" s="244"/>
      <c r="G5" s="244"/>
      <c r="H5" s="244"/>
      <c r="I5" s="244"/>
      <c r="J5" s="244"/>
      <c r="K5" s="244"/>
      <c r="L5" s="244"/>
      <c r="M5" s="244"/>
      <c r="N5" s="17"/>
    </row>
    <row r="6" spans="2:14" ht="7.05" customHeight="1" thickBot="1" x14ac:dyDescent="0.35">
      <c r="B6" s="15"/>
      <c r="C6" s="13"/>
      <c r="D6" s="2"/>
      <c r="E6" s="2"/>
      <c r="F6" s="2"/>
      <c r="G6" s="2"/>
      <c r="H6" s="2"/>
      <c r="I6" s="2"/>
      <c r="J6" s="14"/>
      <c r="K6" s="230" t="str">
        <f>INDEX(Comment!$C$11:$XFD$32,MATCH($C$4,Comment!$B$10:$B$32,0),MATCH(Template1!$D$4,Comment!$C$2:$XFD$2,0))</f>
        <v>NIL</v>
      </c>
      <c r="L6" s="231"/>
      <c r="M6" s="231"/>
      <c r="N6" s="232"/>
    </row>
    <row r="7" spans="2:14" ht="30" customHeight="1" thickBot="1" x14ac:dyDescent="0.35">
      <c r="B7" s="12"/>
      <c r="C7" s="2" t="s">
        <v>22</v>
      </c>
      <c r="D7" s="243" t="s">
        <v>40</v>
      </c>
      <c r="E7" s="243"/>
      <c r="F7" s="16"/>
      <c r="G7" s="16"/>
      <c r="H7" s="2"/>
      <c r="I7" s="52">
        <f>INDEX(Score!$C$20:$XFD$80,MATCH($D$7,Score!$B$20:$B$80,0),MATCH(Template1!$D$4,Score!$C$5:$XFD$5,0))</f>
        <v>0</v>
      </c>
      <c r="J7" s="14"/>
      <c r="K7" s="230"/>
      <c r="L7" s="231"/>
      <c r="M7" s="231"/>
      <c r="N7" s="232"/>
    </row>
    <row r="8" spans="2:14" ht="7.05" customHeight="1" thickBot="1" x14ac:dyDescent="0.35">
      <c r="B8" s="12"/>
      <c r="C8" s="2"/>
      <c r="D8" s="16"/>
      <c r="E8" s="16"/>
      <c r="F8" s="16"/>
      <c r="G8" s="16"/>
      <c r="H8" s="2"/>
      <c r="I8" s="2"/>
      <c r="J8" s="14"/>
      <c r="K8" s="230"/>
      <c r="L8" s="231"/>
      <c r="M8" s="231"/>
      <c r="N8" s="232"/>
    </row>
    <row r="9" spans="2:14" ht="30" customHeight="1" thickBot="1" x14ac:dyDescent="0.35">
      <c r="B9" s="12"/>
      <c r="C9" s="2" t="s">
        <v>24</v>
      </c>
      <c r="D9" s="245" t="s">
        <v>56</v>
      </c>
      <c r="E9" s="245"/>
      <c r="F9" s="16"/>
      <c r="G9" s="16"/>
      <c r="H9" s="2"/>
      <c r="I9" s="52">
        <f>INDEX(Score!$C$20:$XFD$80,MATCH($D$9,Score!$B$20:$B$80,0),MATCH(Template1!$D$4,Score!$C$5:$XFD$5,0))</f>
        <v>0</v>
      </c>
      <c r="J9" s="14"/>
      <c r="K9" s="230"/>
      <c r="L9" s="231"/>
      <c r="M9" s="231"/>
      <c r="N9" s="232"/>
    </row>
    <row r="10" spans="2:14" ht="7.05" customHeight="1" thickBot="1" x14ac:dyDescent="0.35">
      <c r="B10" s="12"/>
      <c r="C10" s="2"/>
      <c r="D10" s="16"/>
      <c r="E10" s="16"/>
      <c r="F10" s="16"/>
      <c r="G10" s="16"/>
      <c r="H10" s="2"/>
      <c r="I10" s="2"/>
      <c r="J10" s="14"/>
      <c r="K10" s="230"/>
      <c r="L10" s="231"/>
      <c r="M10" s="231"/>
      <c r="N10" s="232"/>
    </row>
    <row r="11" spans="2:14" ht="33" customHeight="1" thickBot="1" x14ac:dyDescent="0.35">
      <c r="B11" s="12"/>
      <c r="C11" s="2" t="s">
        <v>26</v>
      </c>
      <c r="D11" s="243" t="s">
        <v>135</v>
      </c>
      <c r="E11" s="243"/>
      <c r="F11" s="16"/>
      <c r="G11" s="16"/>
      <c r="H11" s="2"/>
      <c r="I11" s="52">
        <f>INDEX(Score!$C$20:$XFD$80,MATCH($D$11,Score!$B$20:$B$80,0),MATCH(Template1!$D$4,Score!$C$5:$XFD$5,0))</f>
        <v>0</v>
      </c>
      <c r="J11" s="14"/>
      <c r="K11" s="230"/>
      <c r="L11" s="231"/>
      <c r="M11" s="231"/>
      <c r="N11" s="232"/>
    </row>
    <row r="12" spans="2:14" ht="10.050000000000001" customHeight="1" thickBot="1" x14ac:dyDescent="0.35">
      <c r="B12" s="12"/>
      <c r="C12" s="2"/>
      <c r="D12" s="2"/>
      <c r="E12" s="2"/>
      <c r="F12" s="2"/>
      <c r="G12" s="2"/>
      <c r="H12" s="2"/>
      <c r="I12" s="2"/>
      <c r="J12" s="14"/>
      <c r="K12" s="230"/>
      <c r="L12" s="231"/>
      <c r="M12" s="231"/>
      <c r="N12" s="232"/>
    </row>
    <row r="13" spans="2:14" ht="30" customHeight="1" thickTop="1" thickBot="1" x14ac:dyDescent="0.35">
      <c r="B13" s="12"/>
      <c r="C13" s="2"/>
      <c r="D13" s="2" t="s">
        <v>91</v>
      </c>
      <c r="E13" s="54">
        <f>SUM($I$7,$I$9,$I$11)</f>
        <v>0</v>
      </c>
      <c r="F13" s="2"/>
      <c r="G13" s="2" t="s">
        <v>97</v>
      </c>
      <c r="H13" s="2"/>
      <c r="I13" s="53">
        <f>$E$13/3</f>
        <v>0</v>
      </c>
      <c r="J13" s="14"/>
      <c r="K13" s="230"/>
      <c r="L13" s="231"/>
      <c r="M13" s="231"/>
      <c r="N13" s="232"/>
    </row>
    <row r="14" spans="2:14" ht="10.050000000000001" customHeight="1" thickBot="1" x14ac:dyDescent="0.35">
      <c r="B14" s="4"/>
      <c r="C14" s="7"/>
      <c r="D14" s="7"/>
      <c r="E14" s="7"/>
      <c r="F14" s="7"/>
      <c r="G14" s="7"/>
      <c r="H14" s="7"/>
      <c r="I14" s="7"/>
      <c r="J14" s="17"/>
      <c r="K14" s="233"/>
      <c r="L14" s="234"/>
      <c r="M14" s="234"/>
      <c r="N14" s="235"/>
    </row>
    <row r="15" spans="2:14" ht="10.050000000000001" customHeight="1" x14ac:dyDescent="0.3">
      <c r="B15" s="3"/>
      <c r="C15" s="10"/>
      <c r="D15" s="10"/>
      <c r="E15" s="10"/>
      <c r="F15" s="10"/>
      <c r="G15" s="10"/>
      <c r="H15" s="10"/>
      <c r="I15" s="10"/>
      <c r="J15" s="10"/>
      <c r="K15" s="10"/>
      <c r="L15" s="10"/>
      <c r="M15" s="10"/>
      <c r="N15" s="11"/>
    </row>
    <row r="16" spans="2:14" x14ac:dyDescent="0.3">
      <c r="B16" s="22">
        <v>1.5</v>
      </c>
      <c r="C16" s="20" t="s">
        <v>13</v>
      </c>
      <c r="D16" s="2"/>
      <c r="E16" s="2"/>
      <c r="F16" s="2"/>
      <c r="G16" s="2"/>
      <c r="H16" s="2"/>
      <c r="I16" s="2"/>
      <c r="J16" s="2"/>
      <c r="K16" s="2"/>
      <c r="L16" s="2"/>
      <c r="M16" s="2"/>
      <c r="N16" s="14"/>
    </row>
    <row r="17" spans="2:14" ht="30.75" customHeight="1" thickBot="1" x14ac:dyDescent="0.35">
      <c r="B17" s="15"/>
      <c r="C17" s="244" t="s">
        <v>130</v>
      </c>
      <c r="D17" s="242"/>
      <c r="E17" s="242"/>
      <c r="F17" s="242"/>
      <c r="G17" s="242"/>
      <c r="H17" s="242"/>
      <c r="I17" s="242"/>
      <c r="J17" s="242"/>
      <c r="K17" s="242"/>
      <c r="L17" s="242"/>
      <c r="M17" s="242"/>
      <c r="N17" s="14"/>
    </row>
    <row r="18" spans="2:14" ht="7.05" customHeight="1" thickBot="1" x14ac:dyDescent="0.35">
      <c r="B18" s="8"/>
      <c r="C18" s="9"/>
      <c r="D18" s="10"/>
      <c r="E18" s="10"/>
      <c r="F18" s="10"/>
      <c r="G18" s="10"/>
      <c r="H18" s="10"/>
      <c r="I18" s="10"/>
      <c r="J18" s="10"/>
      <c r="K18" s="227" t="str">
        <f>INDEX(Comment!$C$11:$XFD$32,MATCH($C$16,Comment!$B$10:$B$32,0),MATCH(Template1!$D$4,Comment!$C$2:$XFD$2,0))</f>
        <v>NIL</v>
      </c>
      <c r="L18" s="228"/>
      <c r="M18" s="228"/>
      <c r="N18" s="229"/>
    </row>
    <row r="19" spans="2:14" ht="30" customHeight="1" thickBot="1" x14ac:dyDescent="0.35">
      <c r="B19" s="12"/>
      <c r="C19" s="2" t="s">
        <v>22</v>
      </c>
      <c r="D19" s="243" t="s">
        <v>41</v>
      </c>
      <c r="E19" s="243"/>
      <c r="F19" s="16"/>
      <c r="G19" s="16"/>
      <c r="H19" s="2"/>
      <c r="I19" s="52">
        <f>INDEX(Score!$C$20:$XFD$80,MATCH($D$19,Score!$B$20:$B$80,0),MATCH(Template1!$D$4,Score!$C$5:$XFD$5,0))</f>
        <v>0</v>
      </c>
      <c r="J19" s="2"/>
      <c r="K19" s="230"/>
      <c r="L19" s="231"/>
      <c r="M19" s="231"/>
      <c r="N19" s="232"/>
    </row>
    <row r="20" spans="2:14" ht="7.05" customHeight="1" thickBot="1" x14ac:dyDescent="0.35">
      <c r="B20" s="12"/>
      <c r="C20" s="2"/>
      <c r="D20" s="16"/>
      <c r="E20" s="16"/>
      <c r="F20" s="16"/>
      <c r="G20" s="16"/>
      <c r="H20" s="2"/>
      <c r="I20" s="2"/>
      <c r="J20" s="2"/>
      <c r="K20" s="230"/>
      <c r="L20" s="231"/>
      <c r="M20" s="231"/>
      <c r="N20" s="232"/>
    </row>
    <row r="21" spans="2:14" ht="30" customHeight="1" thickBot="1" x14ac:dyDescent="0.35">
      <c r="B21" s="12"/>
      <c r="C21" s="2" t="s">
        <v>24</v>
      </c>
      <c r="D21" s="243" t="s">
        <v>42</v>
      </c>
      <c r="E21" s="243"/>
      <c r="F21" s="16"/>
      <c r="G21" s="16"/>
      <c r="H21" s="2"/>
      <c r="I21" s="52">
        <f>INDEX(Score!$C$20:$XFD$80,MATCH($D$21,Score!$B$20:$B$80,0),MATCH(Template1!$D$4,Score!$C$5:$XFD$5,0))</f>
        <v>0</v>
      </c>
      <c r="J21" s="2"/>
      <c r="K21" s="230"/>
      <c r="L21" s="231"/>
      <c r="M21" s="231"/>
      <c r="N21" s="232"/>
    </row>
    <row r="22" spans="2:14" ht="7.05" customHeight="1" thickBot="1" x14ac:dyDescent="0.35">
      <c r="B22" s="12"/>
      <c r="C22" s="2"/>
      <c r="D22" s="16"/>
      <c r="E22" s="16"/>
      <c r="F22" s="16"/>
      <c r="G22" s="16"/>
      <c r="H22" s="2"/>
      <c r="I22" s="2"/>
      <c r="J22" s="2"/>
      <c r="K22" s="230"/>
      <c r="L22" s="231"/>
      <c r="M22" s="231"/>
      <c r="N22" s="232"/>
    </row>
    <row r="23" spans="2:14" ht="30" customHeight="1" thickBot="1" x14ac:dyDescent="0.35">
      <c r="B23" s="12"/>
      <c r="C23" s="2" t="s">
        <v>26</v>
      </c>
      <c r="D23" s="243" t="s">
        <v>43</v>
      </c>
      <c r="E23" s="243"/>
      <c r="F23" s="16"/>
      <c r="G23" s="16"/>
      <c r="H23" s="2"/>
      <c r="I23" s="52">
        <f>INDEX(Score!$C$20:$XFD$80,MATCH($D$23,Score!$B$20:$B$80,0),MATCH(Template1!$D$4,Score!$C$5:$XFD$5,0))</f>
        <v>0</v>
      </c>
      <c r="J23" s="2"/>
      <c r="K23" s="230"/>
      <c r="L23" s="231"/>
      <c r="M23" s="231"/>
      <c r="N23" s="232"/>
    </row>
    <row r="24" spans="2:14" ht="10.050000000000001" customHeight="1" thickBot="1" x14ac:dyDescent="0.35">
      <c r="B24" s="12"/>
      <c r="C24" s="2"/>
      <c r="D24" s="2"/>
      <c r="E24" s="2"/>
      <c r="F24" s="2"/>
      <c r="G24" s="2"/>
      <c r="H24" s="2"/>
      <c r="I24" s="2"/>
      <c r="J24" s="2"/>
      <c r="K24" s="230"/>
      <c r="L24" s="231"/>
      <c r="M24" s="231"/>
      <c r="N24" s="232"/>
    </row>
    <row r="25" spans="2:14" ht="30" customHeight="1" thickTop="1" thickBot="1" x14ac:dyDescent="0.35">
      <c r="B25" s="12"/>
      <c r="C25" s="2"/>
      <c r="D25" s="2" t="s">
        <v>91</v>
      </c>
      <c r="E25" s="54">
        <f>SUM($I$19,$I$21,$I$23)</f>
        <v>0</v>
      </c>
      <c r="F25" s="2"/>
      <c r="G25" s="2" t="s">
        <v>97</v>
      </c>
      <c r="H25" s="2"/>
      <c r="I25" s="53">
        <f>$E$25/3</f>
        <v>0</v>
      </c>
      <c r="J25" s="2"/>
      <c r="K25" s="230"/>
      <c r="L25" s="231"/>
      <c r="M25" s="231"/>
      <c r="N25" s="232"/>
    </row>
    <row r="26" spans="2:14" ht="10.050000000000001" customHeight="1" thickBot="1" x14ac:dyDescent="0.35">
      <c r="B26" s="4"/>
      <c r="C26" s="7"/>
      <c r="D26" s="7"/>
      <c r="E26" s="7"/>
      <c r="F26" s="7"/>
      <c r="G26" s="7"/>
      <c r="H26" s="7"/>
      <c r="I26" s="7"/>
      <c r="J26" s="7"/>
      <c r="K26" s="233"/>
      <c r="L26" s="234"/>
      <c r="M26" s="234"/>
      <c r="N26" s="235"/>
    </row>
    <row r="27" spans="2:14" ht="10.050000000000001" customHeight="1" x14ac:dyDescent="0.3">
      <c r="B27" s="3"/>
      <c r="C27" s="10"/>
      <c r="D27" s="10"/>
      <c r="E27" s="10"/>
      <c r="F27" s="10"/>
      <c r="G27" s="10"/>
      <c r="H27" s="10"/>
      <c r="I27" s="10"/>
      <c r="J27" s="10"/>
      <c r="K27" s="10"/>
      <c r="L27" s="10"/>
      <c r="M27" s="10"/>
      <c r="N27" s="11"/>
    </row>
    <row r="28" spans="2:14" x14ac:dyDescent="0.3">
      <c r="B28" s="22">
        <v>1.6</v>
      </c>
      <c r="C28" s="20" t="s">
        <v>14</v>
      </c>
      <c r="D28" s="23"/>
      <c r="E28" s="2"/>
      <c r="F28" s="2"/>
      <c r="G28" s="2"/>
      <c r="H28" s="2"/>
      <c r="I28" s="2"/>
      <c r="J28" s="2"/>
      <c r="K28" s="2"/>
      <c r="L28" s="2"/>
      <c r="M28" s="2"/>
      <c r="N28" s="14"/>
    </row>
    <row r="29" spans="2:14" ht="18" customHeight="1" thickBot="1" x14ac:dyDescent="0.35">
      <c r="B29" s="26"/>
      <c r="C29" s="244" t="s">
        <v>131</v>
      </c>
      <c r="D29" s="244"/>
      <c r="E29" s="244"/>
      <c r="F29" s="244"/>
      <c r="G29" s="244"/>
      <c r="H29" s="244"/>
      <c r="I29" s="244"/>
      <c r="J29" s="244"/>
      <c r="K29" s="244"/>
      <c r="L29" s="244"/>
      <c r="M29" s="244"/>
      <c r="N29" s="17"/>
    </row>
    <row r="30" spans="2:14" ht="7.05" customHeight="1" thickBot="1" x14ac:dyDescent="0.35">
      <c r="B30" s="15"/>
      <c r="C30" s="13"/>
      <c r="D30" s="2"/>
      <c r="E30" s="2"/>
      <c r="F30" s="2"/>
      <c r="G30" s="2"/>
      <c r="H30" s="2"/>
      <c r="I30" s="2"/>
      <c r="J30" s="2"/>
      <c r="K30" s="227" t="str">
        <f>INDEX(Comment!$C$11:$XFD$32,MATCH($C$28,Comment!$B$10:$B$32,0),MATCH(Template1!$D$4,Comment!$C$2:$XFD$2,0))</f>
        <v>NIL</v>
      </c>
      <c r="L30" s="228"/>
      <c r="M30" s="228"/>
      <c r="N30" s="229"/>
    </row>
    <row r="31" spans="2:14" ht="30" customHeight="1" thickBot="1" x14ac:dyDescent="0.35">
      <c r="B31" s="12"/>
      <c r="C31" s="2" t="s">
        <v>22</v>
      </c>
      <c r="D31" s="243" t="s">
        <v>44</v>
      </c>
      <c r="E31" s="243"/>
      <c r="F31" s="16"/>
      <c r="G31" s="16"/>
      <c r="H31" s="2"/>
      <c r="I31" s="52">
        <f>INDEX(Score!$C$20:$XFD$80,MATCH($D$31,Score!$B$20:$B$80,0),MATCH(Template1!$D$4,Score!$C$5:$XFD$5,0))</f>
        <v>0</v>
      </c>
      <c r="J31" s="2"/>
      <c r="K31" s="230"/>
      <c r="L31" s="231"/>
      <c r="M31" s="231"/>
      <c r="N31" s="232"/>
    </row>
    <row r="32" spans="2:14" ht="7.05" customHeight="1" thickBot="1" x14ac:dyDescent="0.35">
      <c r="B32" s="12"/>
      <c r="C32" s="2"/>
      <c r="D32" s="16"/>
      <c r="E32" s="16"/>
      <c r="F32" s="16"/>
      <c r="G32" s="16"/>
      <c r="H32" s="2"/>
      <c r="I32" s="2"/>
      <c r="J32" s="2"/>
      <c r="K32" s="230"/>
      <c r="L32" s="231"/>
      <c r="M32" s="231"/>
      <c r="N32" s="232"/>
    </row>
    <row r="33" spans="2:14" ht="30" customHeight="1" thickBot="1" x14ac:dyDescent="0.35">
      <c r="B33" s="12"/>
      <c r="C33" s="2" t="s">
        <v>24</v>
      </c>
      <c r="D33" s="243" t="s">
        <v>45</v>
      </c>
      <c r="E33" s="243"/>
      <c r="F33" s="16"/>
      <c r="G33" s="16"/>
      <c r="H33" s="2"/>
      <c r="I33" s="52">
        <f>INDEX(Score!$C$20:$XFD$80,MATCH($D$33,Score!$B$20:$B$80,0),MATCH(Template1!$D$4,Score!$C$5:$XFD$5,0))</f>
        <v>0</v>
      </c>
      <c r="J33" s="2"/>
      <c r="K33" s="230"/>
      <c r="L33" s="231"/>
      <c r="M33" s="231"/>
      <c r="N33" s="232"/>
    </row>
    <row r="34" spans="2:14" ht="7.05" customHeight="1" thickBot="1" x14ac:dyDescent="0.35">
      <c r="B34" s="12"/>
      <c r="C34" s="2"/>
      <c r="D34" s="16"/>
      <c r="E34" s="16"/>
      <c r="F34" s="16"/>
      <c r="G34" s="16"/>
      <c r="H34" s="2"/>
      <c r="I34" s="2"/>
      <c r="J34" s="2"/>
      <c r="K34" s="230"/>
      <c r="L34" s="231"/>
      <c r="M34" s="231"/>
      <c r="N34" s="232"/>
    </row>
    <row r="35" spans="2:14" ht="42" customHeight="1" thickBot="1" x14ac:dyDescent="0.35">
      <c r="B35" s="12"/>
      <c r="C35" s="2" t="s">
        <v>26</v>
      </c>
      <c r="D35" s="243" t="s">
        <v>46</v>
      </c>
      <c r="E35" s="243"/>
      <c r="F35" s="16"/>
      <c r="G35" s="16"/>
      <c r="H35" s="2"/>
      <c r="I35" s="52">
        <f>INDEX(Score!$C$20:$XFD$80,MATCH($D$35,Score!$B$20:$B$80,0),MATCH(Template1!$D$4,Score!$C$5:$XFD$5,0))</f>
        <v>0</v>
      </c>
      <c r="J35" s="2"/>
      <c r="K35" s="230"/>
      <c r="L35" s="231"/>
      <c r="M35" s="231"/>
      <c r="N35" s="232"/>
    </row>
    <row r="36" spans="2:14" ht="10.050000000000001" customHeight="1" thickBot="1" x14ac:dyDescent="0.35">
      <c r="B36" s="12"/>
      <c r="C36" s="2"/>
      <c r="D36" s="2"/>
      <c r="E36" s="2"/>
      <c r="F36" s="2"/>
      <c r="G36" s="2"/>
      <c r="H36" s="2"/>
      <c r="I36" s="2"/>
      <c r="J36" s="2"/>
      <c r="K36" s="230"/>
      <c r="L36" s="231"/>
      <c r="M36" s="231"/>
      <c r="N36" s="232"/>
    </row>
    <row r="37" spans="2:14" ht="30" customHeight="1" thickTop="1" thickBot="1" x14ac:dyDescent="0.35">
      <c r="B37" s="12"/>
      <c r="C37" s="2"/>
      <c r="D37" s="2" t="s">
        <v>91</v>
      </c>
      <c r="E37" s="54">
        <f>SUM($I$31,$I$33,$I$35)</f>
        <v>0</v>
      </c>
      <c r="F37" s="2"/>
      <c r="G37" s="2" t="s">
        <v>97</v>
      </c>
      <c r="H37" s="2"/>
      <c r="I37" s="53">
        <f>$E$37/3</f>
        <v>0</v>
      </c>
      <c r="J37" s="2"/>
      <c r="K37" s="230"/>
      <c r="L37" s="231"/>
      <c r="M37" s="231"/>
      <c r="N37" s="232"/>
    </row>
    <row r="38" spans="2:14" ht="10.050000000000001" customHeight="1" thickBot="1" x14ac:dyDescent="0.35">
      <c r="B38" s="4"/>
      <c r="C38" s="7"/>
      <c r="D38" s="7"/>
      <c r="E38" s="7"/>
      <c r="F38" s="7"/>
      <c r="G38" s="7"/>
      <c r="H38" s="7"/>
      <c r="I38" s="7"/>
      <c r="J38" s="7"/>
      <c r="K38" s="233"/>
      <c r="L38" s="234"/>
      <c r="M38" s="234"/>
      <c r="N38" s="235"/>
    </row>
    <row r="39" spans="2:14" ht="10.050000000000001" customHeight="1" x14ac:dyDescent="0.3">
      <c r="B39" s="3"/>
      <c r="C39" s="10"/>
      <c r="D39" s="10"/>
      <c r="E39" s="10"/>
      <c r="F39" s="10"/>
      <c r="G39" s="10"/>
      <c r="H39" s="10"/>
      <c r="I39" s="10"/>
      <c r="J39" s="10"/>
      <c r="K39" s="10"/>
      <c r="L39" s="10"/>
      <c r="M39" s="10"/>
      <c r="N39" s="11"/>
    </row>
    <row r="40" spans="2:14" x14ac:dyDescent="0.3">
      <c r="B40" s="22">
        <v>1.7</v>
      </c>
      <c r="C40" s="20" t="s">
        <v>15</v>
      </c>
      <c r="D40" s="23"/>
      <c r="E40" s="2"/>
      <c r="F40" s="2"/>
      <c r="G40" s="2"/>
      <c r="H40" s="2"/>
      <c r="I40" s="2"/>
      <c r="J40" s="2"/>
      <c r="K40" s="2"/>
      <c r="L40" s="2"/>
      <c r="M40" s="2"/>
      <c r="N40" s="14"/>
    </row>
    <row r="41" spans="2:14" ht="17.25" customHeight="1" thickBot="1" x14ac:dyDescent="0.35">
      <c r="B41" s="26"/>
      <c r="C41" s="244" t="s">
        <v>132</v>
      </c>
      <c r="D41" s="244"/>
      <c r="E41" s="244"/>
      <c r="F41" s="244"/>
      <c r="G41" s="244"/>
      <c r="H41" s="244"/>
      <c r="I41" s="244"/>
      <c r="J41" s="244"/>
      <c r="K41" s="244"/>
      <c r="L41" s="244"/>
      <c r="M41" s="244"/>
      <c r="N41" s="17"/>
    </row>
    <row r="42" spans="2:14" ht="7.05" customHeight="1" thickBot="1" x14ac:dyDescent="0.35">
      <c r="B42" s="15"/>
      <c r="C42" s="13"/>
      <c r="D42" s="2"/>
      <c r="E42" s="2"/>
      <c r="F42" s="2"/>
      <c r="G42" s="2"/>
      <c r="H42" s="2"/>
      <c r="I42" s="2"/>
      <c r="J42" s="2"/>
      <c r="K42" s="227" t="str">
        <f>INDEX(Comment!$C$11:$XFD$32,MATCH($C$40,Comment!$B$10:$B$32,0),MATCH(Template1!$D$4,Comment!$C$2:$XFD$2,0))</f>
        <v>NIL</v>
      </c>
      <c r="L42" s="228"/>
      <c r="M42" s="228"/>
      <c r="N42" s="229"/>
    </row>
    <row r="43" spans="2:14" ht="30" customHeight="1" thickBot="1" x14ac:dyDescent="0.35">
      <c r="B43" s="12"/>
      <c r="C43" s="2" t="s">
        <v>22</v>
      </c>
      <c r="D43" s="243" t="s">
        <v>47</v>
      </c>
      <c r="E43" s="243"/>
      <c r="F43" s="16"/>
      <c r="G43" s="16"/>
      <c r="H43" s="2"/>
      <c r="I43" s="52">
        <f>INDEX(Score!$C$20:$XFD$80,MATCH($D$43,Score!$B$20:$B$80,0),MATCH(Template1!$D$4,Score!$C$5:$XFD$5,0))</f>
        <v>0</v>
      </c>
      <c r="J43" s="2"/>
      <c r="K43" s="230"/>
      <c r="L43" s="231"/>
      <c r="M43" s="231"/>
      <c r="N43" s="232"/>
    </row>
    <row r="44" spans="2:14" ht="7.05" customHeight="1" thickBot="1" x14ac:dyDescent="0.35">
      <c r="B44" s="12"/>
      <c r="C44" s="2"/>
      <c r="D44" s="16"/>
      <c r="E44" s="16"/>
      <c r="F44" s="16"/>
      <c r="G44" s="16"/>
      <c r="H44" s="2"/>
      <c r="I44" s="2"/>
      <c r="J44" s="2"/>
      <c r="K44" s="230"/>
      <c r="L44" s="231"/>
      <c r="M44" s="231"/>
      <c r="N44" s="232"/>
    </row>
    <row r="45" spans="2:14" ht="30" customHeight="1" thickBot="1" x14ac:dyDescent="0.35">
      <c r="B45" s="12"/>
      <c r="C45" s="2" t="s">
        <v>24</v>
      </c>
      <c r="D45" s="243" t="s">
        <v>48</v>
      </c>
      <c r="E45" s="243"/>
      <c r="F45" s="16"/>
      <c r="G45" s="16"/>
      <c r="H45" s="2"/>
      <c r="I45" s="52">
        <f>INDEX(Score!$C$20:$XFD$80,MATCH($D$45,Score!$B$20:$B$80,0),MATCH(Template1!$D$4,Score!$C$5:$XFD$5,0))</f>
        <v>0</v>
      </c>
      <c r="J45" s="2"/>
      <c r="K45" s="230"/>
      <c r="L45" s="231"/>
      <c r="M45" s="231"/>
      <c r="N45" s="232"/>
    </row>
    <row r="46" spans="2:14" ht="7.05" customHeight="1" thickBot="1" x14ac:dyDescent="0.35">
      <c r="B46" s="12"/>
      <c r="C46" s="2"/>
      <c r="D46" s="16"/>
      <c r="E46" s="16"/>
      <c r="F46" s="16"/>
      <c r="G46" s="16"/>
      <c r="H46" s="2"/>
      <c r="I46" s="2"/>
      <c r="J46" s="2"/>
      <c r="K46" s="230"/>
      <c r="L46" s="231"/>
      <c r="M46" s="231"/>
      <c r="N46" s="232"/>
    </row>
    <row r="47" spans="2:14" ht="30" customHeight="1" thickBot="1" x14ac:dyDescent="0.35">
      <c r="B47" s="12"/>
      <c r="C47" s="2" t="s">
        <v>24</v>
      </c>
      <c r="D47" s="243" t="s">
        <v>49</v>
      </c>
      <c r="E47" s="243"/>
      <c r="F47" s="16"/>
      <c r="G47" s="16"/>
      <c r="H47" s="2"/>
      <c r="I47" s="52">
        <f>INDEX(Score!$C$20:$XFD$80,MATCH($D$47,Score!$B$20:$B$80,0),MATCH(Template1!$D$4,Score!$C$5:$XFD$5,0))</f>
        <v>0</v>
      </c>
      <c r="J47" s="2"/>
      <c r="K47" s="230"/>
      <c r="L47" s="231"/>
      <c r="M47" s="231"/>
      <c r="N47" s="232"/>
    </row>
    <row r="48" spans="2:14" ht="7.05" customHeight="1" thickBot="1" x14ac:dyDescent="0.35">
      <c r="B48" s="12"/>
      <c r="C48" s="2"/>
      <c r="D48" s="16"/>
      <c r="E48" s="16"/>
      <c r="F48" s="16"/>
      <c r="G48" s="16"/>
      <c r="H48" s="2"/>
      <c r="I48" s="2"/>
      <c r="J48" s="2"/>
      <c r="K48" s="230"/>
      <c r="L48" s="231"/>
      <c r="M48" s="231"/>
      <c r="N48" s="232"/>
    </row>
    <row r="49" spans="2:14" ht="30" customHeight="1" thickBot="1" x14ac:dyDescent="0.35">
      <c r="B49" s="12"/>
      <c r="C49" s="28" t="s">
        <v>26</v>
      </c>
      <c r="D49" s="243" t="s">
        <v>50</v>
      </c>
      <c r="E49" s="243"/>
      <c r="F49" s="16"/>
      <c r="G49" s="16"/>
      <c r="H49" s="2"/>
      <c r="I49" s="52">
        <f>INDEX(Score!$C$20:$XFD$80,MATCH($D$49,Score!$B$20:$B$80,0),MATCH(Template1!$D$4,Score!$C$5:$XFD$5,0))</f>
        <v>0</v>
      </c>
      <c r="J49" s="2"/>
      <c r="K49" s="230"/>
      <c r="L49" s="231"/>
      <c r="M49" s="231"/>
      <c r="N49" s="232"/>
    </row>
    <row r="50" spans="2:14" ht="10.050000000000001" customHeight="1" thickBot="1" x14ac:dyDescent="0.35">
      <c r="B50" s="12"/>
      <c r="C50" s="2"/>
      <c r="D50" s="2"/>
      <c r="E50" s="2"/>
      <c r="F50" s="2"/>
      <c r="G50" s="2"/>
      <c r="H50" s="2"/>
      <c r="I50" s="2"/>
      <c r="J50" s="2"/>
      <c r="K50" s="230"/>
      <c r="L50" s="231"/>
      <c r="M50" s="231"/>
      <c r="N50" s="232"/>
    </row>
    <row r="51" spans="2:14" ht="30" customHeight="1" thickTop="1" thickBot="1" x14ac:dyDescent="0.35">
      <c r="B51" s="12"/>
      <c r="C51" s="2"/>
      <c r="D51" s="2" t="s">
        <v>91</v>
      </c>
      <c r="E51" s="54">
        <f>SUM($I$43,$I$45,$I$47,$I$49)</f>
        <v>0</v>
      </c>
      <c r="F51" s="2"/>
      <c r="G51" s="2" t="s">
        <v>158</v>
      </c>
      <c r="H51" s="2"/>
      <c r="I51" s="53">
        <f>$E$51/4</f>
        <v>0</v>
      </c>
      <c r="J51" s="2"/>
      <c r="K51" s="230"/>
      <c r="L51" s="231"/>
      <c r="M51" s="231"/>
      <c r="N51" s="232"/>
    </row>
    <row r="52" spans="2:14" ht="10.050000000000001" customHeight="1" thickBot="1" x14ac:dyDescent="0.35">
      <c r="B52" s="4"/>
      <c r="C52" s="7"/>
      <c r="D52" s="7"/>
      <c r="E52" s="7"/>
      <c r="F52" s="7"/>
      <c r="G52" s="7"/>
      <c r="H52" s="7"/>
      <c r="I52" s="7"/>
      <c r="J52" s="7"/>
      <c r="K52" s="233"/>
      <c r="L52" s="234"/>
      <c r="M52" s="234"/>
      <c r="N52" s="235"/>
    </row>
  </sheetData>
  <mergeCells count="21">
    <mergeCell ref="C5:M5"/>
    <mergeCell ref="K6:N14"/>
    <mergeCell ref="C17:M17"/>
    <mergeCell ref="K18:N26"/>
    <mergeCell ref="C29:M29"/>
    <mergeCell ref="D49:E49"/>
    <mergeCell ref="K30:N38"/>
    <mergeCell ref="C41:M41"/>
    <mergeCell ref="K42:N52"/>
    <mergeCell ref="D7:E7"/>
    <mergeCell ref="D9:E9"/>
    <mergeCell ref="D11:E11"/>
    <mergeCell ref="D19:E19"/>
    <mergeCell ref="D21:E21"/>
    <mergeCell ref="D23:E23"/>
    <mergeCell ref="D31:E31"/>
    <mergeCell ref="D33:E33"/>
    <mergeCell ref="D35:E35"/>
    <mergeCell ref="D43:E43"/>
    <mergeCell ref="D45:E45"/>
    <mergeCell ref="D47:E47"/>
  </mergeCells>
  <pageMargins left="0.7" right="0.7" top="0.75" bottom="0.75" header="0.3" footer="0.3"/>
  <pageSetup paperSize="9" scale="56" orientation="landscape"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2:P52"/>
  <sheetViews>
    <sheetView showGridLines="0" topLeftCell="A37" workbookViewId="0">
      <selection activeCell="B40" sqref="B40:P46"/>
    </sheetView>
  </sheetViews>
  <sheetFormatPr defaultColWidth="9.21875" defaultRowHeight="13.2" x14ac:dyDescent="0.3"/>
  <cols>
    <col min="1" max="1" width="0.77734375" style="1" customWidth="1"/>
    <col min="2" max="2" width="4.44140625" style="1" bestFit="1" customWidth="1"/>
    <col min="3" max="3" width="2.77734375" style="1" customWidth="1"/>
    <col min="4" max="4" width="33.21875" style="1" customWidth="1"/>
    <col min="5" max="5" width="9.21875" style="1" customWidth="1"/>
    <col min="6" max="6" width="1.21875" style="1" customWidth="1"/>
    <col min="7" max="7" width="4.77734375" style="1" customWidth="1"/>
    <col min="8" max="8" width="1.5546875" style="1" customWidth="1"/>
    <col min="9" max="9" width="7.77734375" style="1" customWidth="1"/>
    <col min="10" max="10" width="2.44140625" style="1" customWidth="1"/>
    <col min="11" max="11" width="11.77734375" style="1" bestFit="1" customWidth="1"/>
    <col min="12" max="12" width="2.77734375" style="1" customWidth="1"/>
    <col min="13" max="13" width="7.77734375" style="1" customWidth="1"/>
    <col min="14" max="14" width="19.21875" style="1" customWidth="1"/>
    <col min="15" max="15" width="7.77734375" style="1" customWidth="1"/>
    <col min="16" max="16384" width="9.21875" style="1"/>
  </cols>
  <sheetData>
    <row r="2" spans="2:16" ht="14.4" thickBot="1" x14ac:dyDescent="0.35">
      <c r="B2" s="6"/>
    </row>
    <row r="3" spans="2:16" x14ac:dyDescent="0.3">
      <c r="B3" s="3"/>
      <c r="C3" s="9"/>
      <c r="D3" s="10"/>
      <c r="E3" s="10"/>
      <c r="F3" s="10"/>
      <c r="G3" s="10"/>
      <c r="H3" s="10"/>
      <c r="I3" s="10"/>
      <c r="J3" s="10"/>
      <c r="K3" s="10"/>
      <c r="L3" s="10"/>
      <c r="M3" s="10"/>
      <c r="N3" s="10"/>
      <c r="O3" s="10"/>
      <c r="P3" s="11"/>
    </row>
    <row r="4" spans="2:16" x14ac:dyDescent="0.3">
      <c r="B4" s="22">
        <v>1.8</v>
      </c>
      <c r="C4" s="20" t="s">
        <v>16</v>
      </c>
      <c r="D4" s="2"/>
      <c r="E4" s="2"/>
      <c r="F4" s="2"/>
      <c r="G4" s="2"/>
      <c r="H4" s="2"/>
      <c r="I4" s="2"/>
      <c r="J4" s="2"/>
      <c r="K4" s="2"/>
      <c r="L4" s="2"/>
      <c r="M4" s="2"/>
      <c r="N4" s="2"/>
      <c r="O4" s="2"/>
      <c r="P4" s="14"/>
    </row>
    <row r="5" spans="2:16" ht="18" customHeight="1" thickBot="1" x14ac:dyDescent="0.35">
      <c r="B5" s="26"/>
      <c r="C5" s="244" t="s">
        <v>133</v>
      </c>
      <c r="D5" s="244"/>
      <c r="E5" s="244"/>
      <c r="F5" s="244"/>
      <c r="G5" s="244"/>
      <c r="H5" s="244"/>
      <c r="I5" s="244"/>
      <c r="J5" s="244"/>
      <c r="K5" s="244"/>
      <c r="L5" s="244"/>
      <c r="M5" s="244"/>
      <c r="N5" s="244"/>
      <c r="O5" s="27"/>
      <c r="P5" s="17"/>
    </row>
    <row r="6" spans="2:16" ht="7.05" customHeight="1" thickBot="1" x14ac:dyDescent="0.35">
      <c r="B6" s="15"/>
      <c r="C6" s="13"/>
      <c r="D6" s="2"/>
      <c r="E6" s="2"/>
      <c r="F6" s="2"/>
      <c r="G6" s="2"/>
      <c r="H6" s="2"/>
      <c r="I6" s="2"/>
      <c r="J6" s="14"/>
      <c r="K6" s="249" t="str">
        <f>INDEX(Comment!$C$11:$XFD$32,MATCH($C$4,Comment!$B$10:$B$32,0),MATCH(Template1!$D$4,Comment!$C$2:$XFD$2,0))</f>
        <v>NIL</v>
      </c>
      <c r="L6" s="250"/>
      <c r="M6" s="250"/>
      <c r="N6" s="250"/>
      <c r="O6" s="250"/>
      <c r="P6" s="251"/>
    </row>
    <row r="7" spans="2:16" ht="30" customHeight="1" thickBot="1" x14ac:dyDescent="0.35">
      <c r="B7" s="12"/>
      <c r="C7" s="2" t="s">
        <v>22</v>
      </c>
      <c r="D7" s="243" t="s">
        <v>51</v>
      </c>
      <c r="E7" s="243"/>
      <c r="F7" s="19"/>
      <c r="G7" s="19"/>
      <c r="H7" s="2"/>
      <c r="I7" s="52">
        <f>INDEX(Score!$C$20:$XFD$80,MATCH(D7,Score!$B$20:$B$80,0),MATCH(Template1!$D$4,Score!$C$5:$XFD$5,0))</f>
        <v>0</v>
      </c>
      <c r="J7" s="14"/>
      <c r="K7" s="249"/>
      <c r="L7" s="250"/>
      <c r="M7" s="250"/>
      <c r="N7" s="250"/>
      <c r="O7" s="250"/>
      <c r="P7" s="251"/>
    </row>
    <row r="8" spans="2:16" ht="7.05" customHeight="1" thickBot="1" x14ac:dyDescent="0.35">
      <c r="B8" s="12"/>
      <c r="C8" s="2"/>
      <c r="D8" s="19"/>
      <c r="E8" s="19"/>
      <c r="F8" s="19"/>
      <c r="G8" s="19"/>
      <c r="H8" s="2"/>
      <c r="I8" s="2"/>
      <c r="J8" s="14"/>
      <c r="K8" s="249"/>
      <c r="L8" s="250"/>
      <c r="M8" s="250"/>
      <c r="N8" s="250"/>
      <c r="O8" s="250"/>
      <c r="P8" s="251"/>
    </row>
    <row r="9" spans="2:16" ht="36.75" customHeight="1" thickBot="1" x14ac:dyDescent="0.35">
      <c r="B9" s="12"/>
      <c r="C9" s="2" t="s">
        <v>24</v>
      </c>
      <c r="D9" s="243" t="s">
        <v>136</v>
      </c>
      <c r="E9" s="243"/>
      <c r="F9" s="19"/>
      <c r="G9" s="19"/>
      <c r="H9" s="2"/>
      <c r="I9" s="52">
        <f>INDEX(Score!$C$20:$XFD$80,MATCH($D$9,Score!$B$20:$B$80,0),MATCH(Template1!$D$4,Score!$C$5:$XFD$5,0))</f>
        <v>0</v>
      </c>
      <c r="J9" s="14"/>
      <c r="K9" s="249"/>
      <c r="L9" s="250"/>
      <c r="M9" s="250"/>
      <c r="N9" s="250"/>
      <c r="O9" s="250"/>
      <c r="P9" s="251"/>
    </row>
    <row r="10" spans="2:16" ht="7.05" customHeight="1" thickBot="1" x14ac:dyDescent="0.35">
      <c r="B10" s="12"/>
      <c r="C10" s="2"/>
      <c r="D10" s="19"/>
      <c r="E10" s="19"/>
      <c r="F10" s="19"/>
      <c r="G10" s="19"/>
      <c r="H10" s="2"/>
      <c r="I10" s="2"/>
      <c r="J10" s="14"/>
      <c r="K10" s="249"/>
      <c r="L10" s="250"/>
      <c r="M10" s="250"/>
      <c r="N10" s="250"/>
      <c r="O10" s="250"/>
      <c r="P10" s="251"/>
    </row>
    <row r="11" spans="2:16" ht="30" customHeight="1" thickBot="1" x14ac:dyDescent="0.35">
      <c r="B11" s="12"/>
      <c r="C11" s="2" t="s">
        <v>26</v>
      </c>
      <c r="D11" s="243" t="s">
        <v>52</v>
      </c>
      <c r="E11" s="243"/>
      <c r="F11" s="19"/>
      <c r="G11" s="19"/>
      <c r="H11" s="2"/>
      <c r="I11" s="52">
        <f>INDEX(Score!$C$20:$XFD$80,MATCH($D$11,Score!$B$20:$B$80,0),MATCH(Template1!$D$4,Score!$C$5:$XFD$5,0))</f>
        <v>0</v>
      </c>
      <c r="J11" s="14"/>
      <c r="K11" s="249"/>
      <c r="L11" s="250"/>
      <c r="M11" s="250"/>
      <c r="N11" s="250"/>
      <c r="O11" s="250"/>
      <c r="P11" s="251"/>
    </row>
    <row r="12" spans="2:16" ht="10.050000000000001" customHeight="1" thickBot="1" x14ac:dyDescent="0.35">
      <c r="B12" s="12"/>
      <c r="C12" s="2"/>
      <c r="D12" s="2"/>
      <c r="E12" s="2"/>
      <c r="F12" s="2"/>
      <c r="G12" s="2"/>
      <c r="H12" s="2"/>
      <c r="I12" s="2"/>
      <c r="J12" s="14"/>
      <c r="K12" s="249"/>
      <c r="L12" s="250"/>
      <c r="M12" s="250"/>
      <c r="N12" s="250"/>
      <c r="O12" s="250"/>
      <c r="P12" s="251"/>
    </row>
    <row r="13" spans="2:16" ht="30" customHeight="1" thickTop="1" thickBot="1" x14ac:dyDescent="0.35">
      <c r="B13" s="12"/>
      <c r="C13" s="2"/>
      <c r="D13" s="2" t="s">
        <v>91</v>
      </c>
      <c r="E13" s="54">
        <f>SUM($I$7,$I$9,$I$11)</f>
        <v>0</v>
      </c>
      <c r="F13" s="2"/>
      <c r="G13" s="2" t="s">
        <v>97</v>
      </c>
      <c r="H13" s="2"/>
      <c r="I13" s="53">
        <f>$E$13/3</f>
        <v>0</v>
      </c>
      <c r="J13" s="14"/>
      <c r="K13" s="249"/>
      <c r="L13" s="250"/>
      <c r="M13" s="250"/>
      <c r="N13" s="250"/>
      <c r="O13" s="250"/>
      <c r="P13" s="251"/>
    </row>
    <row r="14" spans="2:16" ht="10.050000000000001" customHeight="1" thickBot="1" x14ac:dyDescent="0.35">
      <c r="B14" s="4"/>
      <c r="C14" s="7"/>
      <c r="D14" s="7"/>
      <c r="E14" s="7"/>
      <c r="F14" s="7"/>
      <c r="G14" s="7"/>
      <c r="H14" s="7"/>
      <c r="I14" s="7"/>
      <c r="J14" s="17"/>
      <c r="K14" s="252"/>
      <c r="L14" s="253"/>
      <c r="M14" s="253"/>
      <c r="N14" s="253"/>
      <c r="O14" s="253"/>
      <c r="P14" s="254"/>
    </row>
    <row r="15" spans="2:16" ht="10.050000000000001" customHeight="1" thickBot="1" x14ac:dyDescent="0.35">
      <c r="B15" s="10"/>
      <c r="C15" s="10"/>
      <c r="D15" s="10"/>
      <c r="E15" s="10"/>
      <c r="F15" s="10"/>
      <c r="G15" s="10"/>
      <c r="H15" s="10"/>
      <c r="I15" s="10"/>
      <c r="J15" s="10"/>
      <c r="K15" s="10"/>
      <c r="L15" s="10"/>
      <c r="M15" s="10"/>
      <c r="N15" s="10"/>
      <c r="O15" s="10"/>
      <c r="P15" s="10"/>
    </row>
    <row r="16" spans="2:16" ht="30" customHeight="1" thickBot="1" x14ac:dyDescent="0.35">
      <c r="B16" s="35"/>
      <c r="C16" s="20"/>
      <c r="D16" s="2"/>
      <c r="E16" s="2"/>
      <c r="F16" s="2"/>
      <c r="G16" s="2"/>
      <c r="H16" s="2"/>
      <c r="I16" s="2"/>
      <c r="J16" s="2"/>
      <c r="K16" s="247" t="s">
        <v>107</v>
      </c>
      <c r="L16" s="248"/>
      <c r="M16" s="54">
        <f>SUM(Template1!$I$28,Template1!$I$40,Template1!$I$52,Template2!$I$13,Template2!$I$25,Template2!$I$37,Template2!$I$51,Template3!$I$13)</f>
        <v>0</v>
      </c>
      <c r="N16" s="23" t="s">
        <v>106</v>
      </c>
      <c r="O16" s="54">
        <f>ROUND(M16/80*100,0)</f>
        <v>0</v>
      </c>
      <c r="P16" s="20" t="s">
        <v>105</v>
      </c>
    </row>
    <row r="17" spans="2:16" ht="13.8" thickBot="1" x14ac:dyDescent="0.35">
      <c r="B17" s="36"/>
      <c r="C17" s="246"/>
      <c r="D17" s="246"/>
      <c r="E17" s="246"/>
      <c r="F17" s="246"/>
      <c r="G17" s="246"/>
      <c r="H17" s="246"/>
      <c r="I17" s="246"/>
      <c r="J17" s="246"/>
      <c r="K17" s="246"/>
      <c r="L17" s="246"/>
      <c r="M17" s="246"/>
      <c r="N17" s="246"/>
      <c r="O17" s="24"/>
      <c r="P17" s="2"/>
    </row>
    <row r="18" spans="2:16" ht="7.05" customHeight="1" x14ac:dyDescent="0.3">
      <c r="B18" s="8"/>
      <c r="C18" s="9"/>
      <c r="D18" s="10"/>
      <c r="E18" s="10"/>
      <c r="F18" s="10"/>
      <c r="G18" s="10"/>
      <c r="H18" s="10"/>
      <c r="I18" s="10"/>
      <c r="J18" s="10"/>
      <c r="K18" s="29"/>
      <c r="L18" s="29"/>
      <c r="M18" s="29"/>
      <c r="N18" s="29"/>
      <c r="O18" s="29"/>
      <c r="P18" s="30"/>
    </row>
    <row r="19" spans="2:16" ht="15" x14ac:dyDescent="0.3">
      <c r="B19" s="40">
        <v>2</v>
      </c>
      <c r="C19" s="41" t="s">
        <v>103</v>
      </c>
      <c r="D19" s="2"/>
      <c r="E19" s="2"/>
      <c r="F19" s="2"/>
      <c r="G19" s="2"/>
      <c r="H19" s="2"/>
      <c r="I19" s="2"/>
      <c r="J19" s="2"/>
      <c r="K19" s="2"/>
      <c r="L19" s="2"/>
      <c r="M19" s="2"/>
      <c r="N19" s="2"/>
      <c r="O19" s="2"/>
      <c r="P19" s="14"/>
    </row>
    <row r="20" spans="2:16" ht="7.05" customHeight="1" x14ac:dyDescent="0.3">
      <c r="B20" s="15"/>
      <c r="C20" s="255" t="s">
        <v>104</v>
      </c>
      <c r="D20" s="255"/>
      <c r="E20" s="255"/>
      <c r="F20" s="255"/>
      <c r="G20" s="255"/>
      <c r="H20" s="255"/>
      <c r="I20" s="255"/>
      <c r="J20" s="255"/>
      <c r="K20" s="255"/>
      <c r="L20" s="255"/>
      <c r="M20" s="255"/>
      <c r="N20" s="255"/>
      <c r="O20" s="21"/>
      <c r="P20" s="14"/>
    </row>
    <row r="21" spans="2:16" ht="39" customHeight="1" thickBot="1" x14ac:dyDescent="0.35">
      <c r="B21" s="4"/>
      <c r="C21" s="244"/>
      <c r="D21" s="244"/>
      <c r="E21" s="244"/>
      <c r="F21" s="244"/>
      <c r="G21" s="244"/>
      <c r="H21" s="244"/>
      <c r="I21" s="244"/>
      <c r="J21" s="244"/>
      <c r="K21" s="244"/>
      <c r="L21" s="244"/>
      <c r="M21" s="244"/>
      <c r="N21" s="244"/>
      <c r="O21" s="27"/>
      <c r="P21" s="34"/>
    </row>
    <row r="22" spans="2:16" ht="7.05" customHeight="1" x14ac:dyDescent="0.3">
      <c r="B22" s="3"/>
      <c r="C22" s="10"/>
      <c r="D22" s="43"/>
      <c r="E22" s="43"/>
      <c r="F22" s="43"/>
      <c r="G22" s="43"/>
      <c r="H22" s="10"/>
      <c r="I22" s="10"/>
      <c r="J22" s="10"/>
      <c r="K22" s="29"/>
      <c r="L22" s="29"/>
      <c r="M22" s="29"/>
      <c r="N22" s="29"/>
      <c r="O22" s="29"/>
      <c r="P22" s="30"/>
    </row>
    <row r="23" spans="2:16" x14ac:dyDescent="0.3">
      <c r="B23" s="37">
        <v>2.1</v>
      </c>
      <c r="C23" s="38" t="s">
        <v>17</v>
      </c>
      <c r="D23" s="39"/>
      <c r="E23" s="31"/>
      <c r="F23" s="19"/>
      <c r="G23" s="19"/>
      <c r="H23" s="2"/>
      <c r="I23" s="2"/>
      <c r="J23" s="2"/>
      <c r="K23" s="32"/>
      <c r="L23" s="32"/>
      <c r="M23" s="32"/>
      <c r="N23" s="32"/>
      <c r="O23" s="32"/>
      <c r="P23" s="33"/>
    </row>
    <row r="24" spans="2:16" ht="10.050000000000001" customHeight="1" x14ac:dyDescent="0.3">
      <c r="B24" s="230" t="str">
        <f>INDEX(Comment!$C$11:$XFD$32,MATCH($C$23,Comment!$B$11:$B$32,0),MATCH(Template1!$D$4,Comment!$C$2:$XFD$2,0))</f>
        <v>NIL</v>
      </c>
      <c r="C24" s="231"/>
      <c r="D24" s="231"/>
      <c r="E24" s="231"/>
      <c r="F24" s="231"/>
      <c r="G24" s="231"/>
      <c r="H24" s="231"/>
      <c r="I24" s="231"/>
      <c r="J24" s="231"/>
      <c r="K24" s="231"/>
      <c r="L24" s="231"/>
      <c r="M24" s="231"/>
      <c r="N24" s="231"/>
      <c r="O24" s="231"/>
      <c r="P24" s="232"/>
    </row>
    <row r="25" spans="2:16" ht="30" customHeight="1" x14ac:dyDescent="0.3">
      <c r="B25" s="230"/>
      <c r="C25" s="231"/>
      <c r="D25" s="231"/>
      <c r="E25" s="231"/>
      <c r="F25" s="231"/>
      <c r="G25" s="231"/>
      <c r="H25" s="231"/>
      <c r="I25" s="231"/>
      <c r="J25" s="231"/>
      <c r="K25" s="231"/>
      <c r="L25" s="231"/>
      <c r="M25" s="231"/>
      <c r="N25" s="231"/>
      <c r="O25" s="231"/>
      <c r="P25" s="232"/>
    </row>
    <row r="26" spans="2:16" ht="10.050000000000001" customHeight="1" x14ac:dyDescent="0.3">
      <c r="B26" s="230"/>
      <c r="C26" s="231"/>
      <c r="D26" s="231"/>
      <c r="E26" s="231"/>
      <c r="F26" s="231"/>
      <c r="G26" s="231"/>
      <c r="H26" s="231"/>
      <c r="I26" s="231"/>
      <c r="J26" s="231"/>
      <c r="K26" s="231"/>
      <c r="L26" s="231"/>
      <c r="M26" s="231"/>
      <c r="N26" s="231"/>
      <c r="O26" s="231"/>
      <c r="P26" s="232"/>
    </row>
    <row r="27" spans="2:16" ht="10.050000000000001" customHeight="1" x14ac:dyDescent="0.3">
      <c r="B27" s="230"/>
      <c r="C27" s="231"/>
      <c r="D27" s="231"/>
      <c r="E27" s="231"/>
      <c r="F27" s="231"/>
      <c r="G27" s="231"/>
      <c r="H27" s="231"/>
      <c r="I27" s="231"/>
      <c r="J27" s="231"/>
      <c r="K27" s="231"/>
      <c r="L27" s="231"/>
      <c r="M27" s="231"/>
      <c r="N27" s="231"/>
      <c r="O27" s="231"/>
      <c r="P27" s="232"/>
    </row>
    <row r="28" spans="2:16" x14ac:dyDescent="0.3">
      <c r="B28" s="230"/>
      <c r="C28" s="231"/>
      <c r="D28" s="231"/>
      <c r="E28" s="231"/>
      <c r="F28" s="231"/>
      <c r="G28" s="231"/>
      <c r="H28" s="231"/>
      <c r="I28" s="231"/>
      <c r="J28" s="231"/>
      <c r="K28" s="231"/>
      <c r="L28" s="231"/>
      <c r="M28" s="231"/>
      <c r="N28" s="231"/>
      <c r="O28" s="231"/>
      <c r="P28" s="232"/>
    </row>
    <row r="29" spans="2:16" x14ac:dyDescent="0.3">
      <c r="B29" s="230"/>
      <c r="C29" s="231"/>
      <c r="D29" s="231"/>
      <c r="E29" s="231"/>
      <c r="F29" s="231"/>
      <c r="G29" s="231"/>
      <c r="H29" s="231"/>
      <c r="I29" s="231"/>
      <c r="J29" s="231"/>
      <c r="K29" s="231"/>
      <c r="L29" s="231"/>
      <c r="M29" s="231"/>
      <c r="N29" s="231"/>
      <c r="O29" s="231"/>
      <c r="P29" s="232"/>
    </row>
    <row r="30" spans="2:16" ht="7.05" customHeight="1" thickBot="1" x14ac:dyDescent="0.35">
      <c r="B30" s="233"/>
      <c r="C30" s="234"/>
      <c r="D30" s="234"/>
      <c r="E30" s="234"/>
      <c r="F30" s="234"/>
      <c r="G30" s="234"/>
      <c r="H30" s="234"/>
      <c r="I30" s="234"/>
      <c r="J30" s="234"/>
      <c r="K30" s="234"/>
      <c r="L30" s="234"/>
      <c r="M30" s="234"/>
      <c r="N30" s="234"/>
      <c r="O30" s="234"/>
      <c r="P30" s="235"/>
    </row>
    <row r="31" spans="2:16" ht="30" customHeight="1" x14ac:dyDescent="0.25">
      <c r="B31" s="47">
        <v>2.2000000000000002</v>
      </c>
      <c r="C31" s="48" t="s">
        <v>18</v>
      </c>
      <c r="D31" s="49"/>
      <c r="E31" s="44"/>
      <c r="F31" s="43"/>
      <c r="G31" s="43"/>
      <c r="H31" s="10"/>
      <c r="I31" s="10"/>
      <c r="J31" s="10"/>
      <c r="K31" s="29"/>
      <c r="L31" s="29"/>
      <c r="M31" s="29"/>
      <c r="N31" s="29"/>
      <c r="O31" s="29"/>
      <c r="P31" s="30"/>
    </row>
    <row r="32" spans="2:16" ht="7.05" customHeight="1" x14ac:dyDescent="0.3">
      <c r="B32" s="230" t="str">
        <f>INDEX(Comment!$C$11:$XFD$32,MATCH($C$31,Comment!$B$11:$B$32,0),MATCH(Template1!$M$4,Comment!$C$4:$XFD$4,0))</f>
        <v>NIL</v>
      </c>
      <c r="C32" s="231"/>
      <c r="D32" s="231"/>
      <c r="E32" s="231"/>
      <c r="F32" s="231"/>
      <c r="G32" s="231"/>
      <c r="H32" s="231"/>
      <c r="I32" s="231"/>
      <c r="J32" s="231"/>
      <c r="K32" s="231"/>
      <c r="L32" s="231"/>
      <c r="M32" s="231"/>
      <c r="N32" s="231"/>
      <c r="O32" s="231"/>
      <c r="P32" s="232"/>
    </row>
    <row r="33" spans="2:16" ht="30" customHeight="1" x14ac:dyDescent="0.3">
      <c r="B33" s="230"/>
      <c r="C33" s="231"/>
      <c r="D33" s="231"/>
      <c r="E33" s="231"/>
      <c r="F33" s="231"/>
      <c r="G33" s="231"/>
      <c r="H33" s="231"/>
      <c r="I33" s="231"/>
      <c r="J33" s="231"/>
      <c r="K33" s="231"/>
      <c r="L33" s="231"/>
      <c r="M33" s="231"/>
      <c r="N33" s="231"/>
      <c r="O33" s="231"/>
      <c r="P33" s="232"/>
    </row>
    <row r="34" spans="2:16" ht="7.05" customHeight="1" x14ac:dyDescent="0.3">
      <c r="B34" s="230"/>
      <c r="C34" s="231"/>
      <c r="D34" s="231"/>
      <c r="E34" s="231"/>
      <c r="F34" s="231"/>
      <c r="G34" s="231"/>
      <c r="H34" s="231"/>
      <c r="I34" s="231"/>
      <c r="J34" s="231"/>
      <c r="K34" s="231"/>
      <c r="L34" s="231"/>
      <c r="M34" s="231"/>
      <c r="N34" s="231"/>
      <c r="O34" s="231"/>
      <c r="P34" s="232"/>
    </row>
    <row r="35" spans="2:16" ht="30" customHeight="1" x14ac:dyDescent="0.3">
      <c r="B35" s="230"/>
      <c r="C35" s="231"/>
      <c r="D35" s="231"/>
      <c r="E35" s="231"/>
      <c r="F35" s="231"/>
      <c r="G35" s="231"/>
      <c r="H35" s="231"/>
      <c r="I35" s="231"/>
      <c r="J35" s="231"/>
      <c r="K35" s="231"/>
      <c r="L35" s="231"/>
      <c r="M35" s="231"/>
      <c r="N35" s="231"/>
      <c r="O35" s="231"/>
      <c r="P35" s="232"/>
    </row>
    <row r="36" spans="2:16" ht="10.050000000000001" customHeight="1" x14ac:dyDescent="0.3">
      <c r="B36" s="230"/>
      <c r="C36" s="231"/>
      <c r="D36" s="231"/>
      <c r="E36" s="231"/>
      <c r="F36" s="231"/>
      <c r="G36" s="231"/>
      <c r="H36" s="231"/>
      <c r="I36" s="231"/>
      <c r="J36" s="231"/>
      <c r="K36" s="231"/>
      <c r="L36" s="231"/>
      <c r="M36" s="231"/>
      <c r="N36" s="231"/>
      <c r="O36" s="231"/>
      <c r="P36" s="232"/>
    </row>
    <row r="37" spans="2:16" ht="30" customHeight="1" thickBot="1" x14ac:dyDescent="0.35">
      <c r="B37" s="233"/>
      <c r="C37" s="234"/>
      <c r="D37" s="234"/>
      <c r="E37" s="234"/>
      <c r="F37" s="234"/>
      <c r="G37" s="234"/>
      <c r="H37" s="234"/>
      <c r="I37" s="234"/>
      <c r="J37" s="234"/>
      <c r="K37" s="234"/>
      <c r="L37" s="234"/>
      <c r="M37" s="234"/>
      <c r="N37" s="234"/>
      <c r="O37" s="234"/>
      <c r="P37" s="235"/>
    </row>
    <row r="38" spans="2:16" ht="10.050000000000001" customHeight="1" x14ac:dyDescent="0.3">
      <c r="B38" s="3"/>
      <c r="C38" s="10"/>
      <c r="D38" s="10"/>
      <c r="E38" s="10"/>
      <c r="F38" s="10"/>
      <c r="G38" s="10"/>
      <c r="H38" s="10"/>
      <c r="I38" s="10"/>
      <c r="J38" s="10"/>
      <c r="K38" s="29"/>
      <c r="L38" s="29"/>
      <c r="M38" s="29"/>
      <c r="N38" s="29"/>
      <c r="O38" s="29"/>
      <c r="P38" s="30"/>
    </row>
    <row r="39" spans="2:16" x14ac:dyDescent="0.3">
      <c r="B39" s="42">
        <v>2.2999999999999998</v>
      </c>
      <c r="C39" s="20" t="s">
        <v>19</v>
      </c>
      <c r="D39" s="23"/>
      <c r="E39" s="2"/>
      <c r="F39" s="2"/>
      <c r="G39" s="2"/>
      <c r="H39" s="2"/>
      <c r="I39" s="2"/>
      <c r="J39" s="2"/>
      <c r="K39" s="2"/>
      <c r="L39" s="2"/>
      <c r="M39" s="2"/>
      <c r="N39" s="2"/>
      <c r="O39" s="2"/>
      <c r="P39" s="14"/>
    </row>
    <row r="40" spans="2:16" x14ac:dyDescent="0.3">
      <c r="B40" s="256" t="str">
        <f>INDEX(Comment!$C$11:$XFD$32,MATCH($C$39,Comment!$B$11:$B$32,0),MATCH(Template1!$M$4,Comment!$C$4:$XFD$4,0))</f>
        <v>NIL</v>
      </c>
      <c r="C40" s="257"/>
      <c r="D40" s="257"/>
      <c r="E40" s="257"/>
      <c r="F40" s="257"/>
      <c r="G40" s="257"/>
      <c r="H40" s="257"/>
      <c r="I40" s="257"/>
      <c r="J40" s="257"/>
      <c r="K40" s="257"/>
      <c r="L40" s="257"/>
      <c r="M40" s="257"/>
      <c r="N40" s="257"/>
      <c r="O40" s="257"/>
      <c r="P40" s="258"/>
    </row>
    <row r="41" spans="2:16" ht="13.5" customHeight="1" x14ac:dyDescent="0.3">
      <c r="B41" s="256"/>
      <c r="C41" s="257"/>
      <c r="D41" s="257"/>
      <c r="E41" s="257"/>
      <c r="F41" s="257"/>
      <c r="G41" s="257"/>
      <c r="H41" s="257"/>
      <c r="I41" s="257"/>
      <c r="J41" s="257"/>
      <c r="K41" s="257"/>
      <c r="L41" s="257"/>
      <c r="M41" s="257"/>
      <c r="N41" s="257"/>
      <c r="O41" s="257"/>
      <c r="P41" s="258"/>
    </row>
    <row r="42" spans="2:16" ht="7.05" customHeight="1" x14ac:dyDescent="0.3">
      <c r="B42" s="256"/>
      <c r="C42" s="257"/>
      <c r="D42" s="257"/>
      <c r="E42" s="257"/>
      <c r="F42" s="257"/>
      <c r="G42" s="257"/>
      <c r="H42" s="257"/>
      <c r="I42" s="257"/>
      <c r="J42" s="257"/>
      <c r="K42" s="257"/>
      <c r="L42" s="257"/>
      <c r="M42" s="257"/>
      <c r="N42" s="257"/>
      <c r="O42" s="257"/>
      <c r="P42" s="258"/>
    </row>
    <row r="43" spans="2:16" ht="30" customHeight="1" x14ac:dyDescent="0.3">
      <c r="B43" s="256"/>
      <c r="C43" s="257"/>
      <c r="D43" s="257"/>
      <c r="E43" s="257"/>
      <c r="F43" s="257"/>
      <c r="G43" s="257"/>
      <c r="H43" s="257"/>
      <c r="I43" s="257"/>
      <c r="J43" s="257"/>
      <c r="K43" s="257"/>
      <c r="L43" s="257"/>
      <c r="M43" s="257"/>
      <c r="N43" s="257"/>
      <c r="O43" s="257"/>
      <c r="P43" s="258"/>
    </row>
    <row r="44" spans="2:16" ht="7.05" customHeight="1" x14ac:dyDescent="0.3">
      <c r="B44" s="256"/>
      <c r="C44" s="257"/>
      <c r="D44" s="257"/>
      <c r="E44" s="257"/>
      <c r="F44" s="257"/>
      <c r="G44" s="257"/>
      <c r="H44" s="257"/>
      <c r="I44" s="257"/>
      <c r="J44" s="257"/>
      <c r="K44" s="257"/>
      <c r="L44" s="257"/>
      <c r="M44" s="257"/>
      <c r="N44" s="257"/>
      <c r="O44" s="257"/>
      <c r="P44" s="258"/>
    </row>
    <row r="45" spans="2:16" ht="30" customHeight="1" x14ac:dyDescent="0.3">
      <c r="B45" s="256"/>
      <c r="C45" s="257"/>
      <c r="D45" s="257"/>
      <c r="E45" s="257"/>
      <c r="F45" s="257"/>
      <c r="G45" s="257"/>
      <c r="H45" s="257"/>
      <c r="I45" s="257"/>
      <c r="J45" s="257"/>
      <c r="K45" s="257"/>
      <c r="L45" s="257"/>
      <c r="M45" s="257"/>
      <c r="N45" s="257"/>
      <c r="O45" s="257"/>
      <c r="P45" s="258"/>
    </row>
    <row r="46" spans="2:16" ht="7.05" customHeight="1" thickBot="1" x14ac:dyDescent="0.35">
      <c r="B46" s="259"/>
      <c r="C46" s="260"/>
      <c r="D46" s="260"/>
      <c r="E46" s="260"/>
      <c r="F46" s="260"/>
      <c r="G46" s="260"/>
      <c r="H46" s="260"/>
      <c r="I46" s="260"/>
      <c r="J46" s="260"/>
      <c r="K46" s="260"/>
      <c r="L46" s="260"/>
      <c r="M46" s="260"/>
      <c r="N46" s="260"/>
      <c r="O46" s="260"/>
      <c r="P46" s="261"/>
    </row>
    <row r="47" spans="2:16" ht="30" customHeight="1" x14ac:dyDescent="0.25">
      <c r="B47" s="45">
        <v>2.4</v>
      </c>
      <c r="C47" s="98" t="s">
        <v>20</v>
      </c>
      <c r="D47" s="46"/>
      <c r="E47" s="31"/>
      <c r="F47" s="19"/>
      <c r="G47" s="19"/>
      <c r="H47" s="2"/>
      <c r="I47" s="2"/>
      <c r="J47" s="2"/>
      <c r="K47" s="32"/>
      <c r="L47" s="32"/>
      <c r="M47" s="32"/>
      <c r="N47" s="32"/>
      <c r="O47" s="32"/>
      <c r="P47" s="33"/>
    </row>
    <row r="48" spans="2:16" ht="7.05" customHeight="1" x14ac:dyDescent="0.3">
      <c r="B48" s="230" t="str">
        <f>INDEX(Comment!$C$11:$XFD$32,MATCH($C$47,Comment!$B$11:$B$32,0),MATCH(Template1!$M$4,Comment!$C$4:$XFD$4,0))</f>
        <v>NIL</v>
      </c>
      <c r="C48" s="231"/>
      <c r="D48" s="231"/>
      <c r="E48" s="231"/>
      <c r="F48" s="231"/>
      <c r="G48" s="231"/>
      <c r="H48" s="231"/>
      <c r="I48" s="231"/>
      <c r="J48" s="231"/>
      <c r="K48" s="231"/>
      <c r="L48" s="231"/>
      <c r="M48" s="231"/>
      <c r="N48" s="231"/>
      <c r="O48" s="231"/>
      <c r="P48" s="232"/>
    </row>
    <row r="49" spans="2:16" ht="30" customHeight="1" x14ac:dyDescent="0.3">
      <c r="B49" s="230"/>
      <c r="C49" s="231"/>
      <c r="D49" s="231"/>
      <c r="E49" s="231"/>
      <c r="F49" s="231"/>
      <c r="G49" s="231"/>
      <c r="H49" s="231"/>
      <c r="I49" s="231"/>
      <c r="J49" s="231"/>
      <c r="K49" s="231"/>
      <c r="L49" s="231"/>
      <c r="M49" s="231"/>
      <c r="N49" s="231"/>
      <c r="O49" s="231"/>
      <c r="P49" s="232"/>
    </row>
    <row r="50" spans="2:16" ht="30" customHeight="1" x14ac:dyDescent="0.3">
      <c r="B50" s="230"/>
      <c r="C50" s="231"/>
      <c r="D50" s="231"/>
      <c r="E50" s="231"/>
      <c r="F50" s="231"/>
      <c r="G50" s="231"/>
      <c r="H50" s="231"/>
      <c r="I50" s="231"/>
      <c r="J50" s="231"/>
      <c r="K50" s="231"/>
      <c r="L50" s="231"/>
      <c r="M50" s="231"/>
      <c r="N50" s="231"/>
      <c r="O50" s="231"/>
      <c r="P50" s="232"/>
    </row>
    <row r="51" spans="2:16" ht="30" customHeight="1" x14ac:dyDescent="0.3">
      <c r="B51" s="230"/>
      <c r="C51" s="231"/>
      <c r="D51" s="231"/>
      <c r="E51" s="231"/>
      <c r="F51" s="231"/>
      <c r="G51" s="231"/>
      <c r="H51" s="231"/>
      <c r="I51" s="231"/>
      <c r="J51" s="231"/>
      <c r="K51" s="231"/>
      <c r="L51" s="231"/>
      <c r="M51" s="231"/>
      <c r="N51" s="231"/>
      <c r="O51" s="231"/>
      <c r="P51" s="232"/>
    </row>
    <row r="52" spans="2:16" ht="10.050000000000001" customHeight="1" thickBot="1" x14ac:dyDescent="0.35">
      <c r="B52" s="233"/>
      <c r="C52" s="234"/>
      <c r="D52" s="234"/>
      <c r="E52" s="234"/>
      <c r="F52" s="234"/>
      <c r="G52" s="234"/>
      <c r="H52" s="234"/>
      <c r="I52" s="234"/>
      <c r="J52" s="234"/>
      <c r="K52" s="234"/>
      <c r="L52" s="234"/>
      <c r="M52" s="234"/>
      <c r="N52" s="234"/>
      <c r="O52" s="234"/>
      <c r="P52" s="235"/>
    </row>
  </sheetData>
  <mergeCells count="12">
    <mergeCell ref="C20:N21"/>
    <mergeCell ref="B24:P30"/>
    <mergeCell ref="B32:P37"/>
    <mergeCell ref="B40:P46"/>
    <mergeCell ref="B48:P52"/>
    <mergeCell ref="C17:N17"/>
    <mergeCell ref="K16:L16"/>
    <mergeCell ref="C5:N5"/>
    <mergeCell ref="K6:P14"/>
    <mergeCell ref="D7:E7"/>
    <mergeCell ref="D9:E9"/>
    <mergeCell ref="D11:E11"/>
  </mergeCells>
  <pageMargins left="0.7" right="0.7" top="0.75" bottom="0.75" header="0.3" footer="0.3"/>
  <pageSetup paperSize="9" scale="58" orientation="landscape"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50"/>
  <sheetViews>
    <sheetView showGridLines="0" workbookViewId="0">
      <selection activeCell="C41" sqref="C41"/>
    </sheetView>
  </sheetViews>
  <sheetFormatPr defaultColWidth="9.21875" defaultRowHeight="13.2" x14ac:dyDescent="0.3"/>
  <cols>
    <col min="1" max="1" width="1.44140625" style="1" customWidth="1"/>
    <col min="2" max="2" width="5" style="1" customWidth="1"/>
    <col min="3" max="3" width="7.77734375" style="1" customWidth="1"/>
    <col min="4" max="4" width="3.77734375" style="1" customWidth="1"/>
    <col min="5" max="8" width="9.21875" style="1"/>
    <col min="9" max="9" width="2.21875" style="1" customWidth="1"/>
    <col min="10" max="10" width="9.21875" style="1"/>
    <col min="11" max="11" width="3.77734375" style="1" customWidth="1"/>
    <col min="12" max="12" width="9.21875" style="1"/>
    <col min="13" max="13" width="5.77734375" style="1" customWidth="1"/>
    <col min="14" max="16384" width="9.21875" style="1"/>
  </cols>
  <sheetData>
    <row r="1" spans="2:17" ht="13.8" thickBot="1" x14ac:dyDescent="0.35"/>
    <row r="2" spans="2:17" x14ac:dyDescent="0.3">
      <c r="B2" s="3"/>
      <c r="C2" s="10"/>
      <c r="D2" s="10"/>
      <c r="E2" s="10"/>
      <c r="F2" s="10"/>
      <c r="G2" s="10"/>
      <c r="H2" s="10"/>
      <c r="I2" s="10"/>
      <c r="J2" s="10"/>
      <c r="K2" s="10"/>
      <c r="L2" s="10"/>
      <c r="M2" s="10"/>
      <c r="N2" s="10"/>
      <c r="O2" s="10"/>
      <c r="P2" s="10"/>
      <c r="Q2" s="11"/>
    </row>
    <row r="3" spans="2:17" x14ac:dyDescent="0.3">
      <c r="B3" s="12">
        <v>3</v>
      </c>
      <c r="C3" s="20" t="s">
        <v>108</v>
      </c>
      <c r="D3" s="2"/>
      <c r="E3" s="2"/>
      <c r="F3" s="2"/>
      <c r="G3" s="2"/>
      <c r="H3" s="2"/>
      <c r="I3" s="2"/>
      <c r="J3" s="2"/>
      <c r="K3" s="2"/>
      <c r="L3" s="2"/>
      <c r="M3" s="2"/>
      <c r="N3" s="2"/>
      <c r="O3" s="2"/>
      <c r="P3" s="2"/>
      <c r="Q3" s="14"/>
    </row>
    <row r="4" spans="2:17" ht="17.25" customHeight="1" x14ac:dyDescent="0.3">
      <c r="B4" s="12"/>
      <c r="C4" s="50" t="s">
        <v>109</v>
      </c>
      <c r="D4" s="13"/>
      <c r="E4" s="2"/>
      <c r="F4" s="2"/>
      <c r="G4" s="2"/>
      <c r="H4" s="2"/>
      <c r="I4" s="2"/>
      <c r="J4" s="2"/>
      <c r="K4" s="2"/>
      <c r="L4" s="2"/>
      <c r="M4" s="2"/>
      <c r="N4" s="2"/>
      <c r="O4" s="2"/>
      <c r="P4" s="2"/>
      <c r="Q4" s="14"/>
    </row>
    <row r="5" spans="2:17" x14ac:dyDescent="0.3">
      <c r="B5" s="230" t="str">
        <f>INDEX(Comment!$C$11:$XFD$32,MATCH($C$3,Comment!$B$11:$B$32,0),MATCH(Template1!$M$4,Comment!$C$4:$XFD$4,0))</f>
        <v>NIL</v>
      </c>
      <c r="C5" s="231"/>
      <c r="D5" s="231"/>
      <c r="E5" s="231"/>
      <c r="F5" s="231"/>
      <c r="G5" s="231"/>
      <c r="H5" s="231"/>
      <c r="I5" s="231"/>
      <c r="J5" s="231"/>
      <c r="K5" s="231"/>
      <c r="L5" s="231"/>
      <c r="M5" s="231"/>
      <c r="N5" s="231"/>
      <c r="O5" s="231"/>
      <c r="P5" s="231"/>
      <c r="Q5" s="232"/>
    </row>
    <row r="6" spans="2:17" ht="30" customHeight="1" x14ac:dyDescent="0.3">
      <c r="B6" s="230"/>
      <c r="C6" s="231"/>
      <c r="D6" s="231"/>
      <c r="E6" s="231"/>
      <c r="F6" s="231"/>
      <c r="G6" s="231"/>
      <c r="H6" s="231"/>
      <c r="I6" s="231"/>
      <c r="J6" s="231"/>
      <c r="K6" s="231"/>
      <c r="L6" s="231"/>
      <c r="M6" s="231"/>
      <c r="N6" s="231"/>
      <c r="O6" s="231"/>
      <c r="P6" s="231"/>
      <c r="Q6" s="232"/>
    </row>
    <row r="7" spans="2:17" ht="30" customHeight="1" x14ac:dyDescent="0.3">
      <c r="B7" s="230"/>
      <c r="C7" s="231"/>
      <c r="D7" s="231"/>
      <c r="E7" s="231"/>
      <c r="F7" s="231"/>
      <c r="G7" s="231"/>
      <c r="H7" s="231"/>
      <c r="I7" s="231"/>
      <c r="J7" s="231"/>
      <c r="K7" s="231"/>
      <c r="L7" s="231"/>
      <c r="M7" s="231"/>
      <c r="N7" s="231"/>
      <c r="O7" s="231"/>
      <c r="P7" s="231"/>
      <c r="Q7" s="232"/>
    </row>
    <row r="8" spans="2:17" ht="30" customHeight="1" x14ac:dyDescent="0.3">
      <c r="B8" s="230"/>
      <c r="C8" s="231"/>
      <c r="D8" s="231"/>
      <c r="E8" s="231"/>
      <c r="F8" s="231"/>
      <c r="G8" s="231"/>
      <c r="H8" s="231"/>
      <c r="I8" s="231"/>
      <c r="J8" s="231"/>
      <c r="K8" s="231"/>
      <c r="L8" s="231"/>
      <c r="M8" s="231"/>
      <c r="N8" s="231"/>
      <c r="O8" s="231"/>
      <c r="P8" s="231"/>
      <c r="Q8" s="232"/>
    </row>
    <row r="9" spans="2:17" ht="30" customHeight="1" x14ac:dyDescent="0.3">
      <c r="B9" s="230"/>
      <c r="C9" s="231"/>
      <c r="D9" s="231"/>
      <c r="E9" s="231"/>
      <c r="F9" s="231"/>
      <c r="G9" s="231"/>
      <c r="H9" s="231"/>
      <c r="I9" s="231"/>
      <c r="J9" s="231"/>
      <c r="K9" s="231"/>
      <c r="L9" s="231"/>
      <c r="M9" s="231"/>
      <c r="N9" s="231"/>
      <c r="O9" s="231"/>
      <c r="P9" s="231"/>
      <c r="Q9" s="232"/>
    </row>
    <row r="10" spans="2:17" ht="10.050000000000001" customHeight="1" thickBot="1" x14ac:dyDescent="0.35">
      <c r="B10" s="233"/>
      <c r="C10" s="234"/>
      <c r="D10" s="234"/>
      <c r="E10" s="234"/>
      <c r="F10" s="234"/>
      <c r="G10" s="234"/>
      <c r="H10" s="234"/>
      <c r="I10" s="234"/>
      <c r="J10" s="234"/>
      <c r="K10" s="234"/>
      <c r="L10" s="234"/>
      <c r="M10" s="234"/>
      <c r="N10" s="234"/>
      <c r="O10" s="234"/>
      <c r="P10" s="234"/>
      <c r="Q10" s="235"/>
    </row>
    <row r="11" spans="2:17" ht="10.050000000000001" customHeight="1" x14ac:dyDescent="0.3">
      <c r="B11" s="2"/>
      <c r="C11" s="2"/>
      <c r="D11" s="2"/>
      <c r="E11" s="2"/>
      <c r="F11" s="2"/>
      <c r="G11" s="2"/>
      <c r="H11" s="2"/>
      <c r="I11" s="2"/>
      <c r="J11" s="2"/>
      <c r="K11" s="2"/>
      <c r="L11" s="2"/>
      <c r="M11" s="2"/>
      <c r="N11" s="2"/>
      <c r="O11" s="2"/>
      <c r="P11" s="2"/>
      <c r="Q11" s="2"/>
    </row>
    <row r="12" spans="2:17" ht="10.050000000000001" customHeight="1" thickBot="1" x14ac:dyDescent="0.35">
      <c r="B12" s="2"/>
      <c r="C12" s="2"/>
      <c r="D12" s="2"/>
      <c r="E12" s="2"/>
      <c r="F12" s="2"/>
      <c r="G12" s="2"/>
      <c r="H12" s="2"/>
      <c r="I12" s="2"/>
      <c r="J12" s="2"/>
      <c r="K12" s="2"/>
      <c r="L12" s="2"/>
      <c r="M12" s="2"/>
      <c r="N12" s="2"/>
      <c r="O12" s="2"/>
      <c r="P12" s="2"/>
      <c r="Q12" s="2"/>
    </row>
    <row r="13" spans="2:17" ht="10.050000000000001" customHeight="1" x14ac:dyDescent="0.3">
      <c r="B13" s="3"/>
      <c r="C13" s="10"/>
      <c r="D13" s="10"/>
      <c r="E13" s="10"/>
      <c r="F13" s="10"/>
      <c r="G13" s="10"/>
      <c r="H13" s="10"/>
      <c r="I13" s="10"/>
      <c r="J13" s="10"/>
      <c r="K13" s="10"/>
      <c r="L13" s="10"/>
      <c r="M13" s="10"/>
      <c r="N13" s="10"/>
      <c r="O13" s="10"/>
      <c r="P13" s="10"/>
      <c r="Q13" s="11"/>
    </row>
    <row r="14" spans="2:17" x14ac:dyDescent="0.3">
      <c r="B14" s="12"/>
      <c r="C14" s="20" t="s">
        <v>110</v>
      </c>
      <c r="D14" s="13"/>
      <c r="E14" s="2"/>
      <c r="F14" s="2"/>
      <c r="G14" s="2"/>
      <c r="H14" s="2"/>
      <c r="I14" s="2"/>
      <c r="J14" s="2"/>
      <c r="K14" s="2"/>
      <c r="L14" s="2"/>
      <c r="M14" s="2"/>
      <c r="N14" s="2"/>
      <c r="O14" s="2"/>
      <c r="P14" s="2"/>
      <c r="Q14" s="14"/>
    </row>
    <row r="15" spans="2:17" x14ac:dyDescent="0.3">
      <c r="B15" s="12"/>
      <c r="C15" s="20" t="s">
        <v>111</v>
      </c>
      <c r="D15" s="13"/>
      <c r="E15" s="2"/>
      <c r="F15" s="2"/>
      <c r="G15" s="2"/>
      <c r="H15" s="2"/>
      <c r="I15" s="2"/>
      <c r="J15" s="2"/>
      <c r="K15" s="2"/>
      <c r="L15" s="2"/>
      <c r="M15" s="2"/>
      <c r="N15" s="2"/>
      <c r="O15" s="2"/>
      <c r="P15" s="2"/>
      <c r="Q15" s="14"/>
    </row>
    <row r="16" spans="2:17" ht="13.8" thickBot="1" x14ac:dyDescent="0.35">
      <c r="B16" s="12"/>
      <c r="C16" s="2"/>
      <c r="D16" s="2"/>
      <c r="E16" s="2"/>
      <c r="F16" s="2"/>
      <c r="G16" s="2"/>
      <c r="H16" s="2"/>
      <c r="I16" s="2"/>
      <c r="J16" s="2"/>
      <c r="K16" s="2"/>
      <c r="L16" s="2"/>
      <c r="M16" s="2"/>
      <c r="N16" s="2"/>
      <c r="O16" s="2"/>
      <c r="P16" s="2"/>
      <c r="Q16" s="14"/>
    </row>
    <row r="17" spans="2:17" ht="30" customHeight="1" thickBot="1" x14ac:dyDescent="0.35">
      <c r="B17" s="12"/>
      <c r="C17" s="55" t="str">
        <f>IF(HLOOKUP(Template1!$D$4,Score!$C$5:$XFD$83,79,FALSE)=$F$17,"√","")</f>
        <v/>
      </c>
      <c r="D17" s="2"/>
      <c r="E17" s="23" t="s">
        <v>112</v>
      </c>
      <c r="F17" s="20" t="s">
        <v>62</v>
      </c>
      <c r="G17" s="2"/>
      <c r="H17" s="2"/>
      <c r="I17" s="2"/>
      <c r="J17" s="55" t="str">
        <f>IF(HLOOKUP(Template1!$D$4,Score!$C$5:$XFD$83,79,FALSE)=$N$17,"√","")</f>
        <v/>
      </c>
      <c r="K17" s="2"/>
      <c r="L17" s="23" t="s">
        <v>121</v>
      </c>
      <c r="M17" s="2"/>
      <c r="N17" s="20" t="s">
        <v>59</v>
      </c>
      <c r="O17" s="2"/>
      <c r="P17" s="2"/>
      <c r="Q17" s="14"/>
    </row>
    <row r="18" spans="2:17" ht="13.8" thickBot="1" x14ac:dyDescent="0.35">
      <c r="B18" s="12"/>
      <c r="C18" s="2"/>
      <c r="D18" s="2"/>
      <c r="E18" s="23"/>
      <c r="F18" s="20"/>
      <c r="G18" s="2"/>
      <c r="H18" s="2"/>
      <c r="I18" s="2"/>
      <c r="J18" s="2"/>
      <c r="K18" s="2"/>
      <c r="L18" s="23"/>
      <c r="M18" s="2"/>
      <c r="N18" s="23"/>
      <c r="O18" s="2"/>
      <c r="P18" s="2"/>
      <c r="Q18" s="14"/>
    </row>
    <row r="19" spans="2:17" ht="30" customHeight="1" thickBot="1" x14ac:dyDescent="0.35">
      <c r="B19" s="12"/>
      <c r="C19" s="55" t="str">
        <f>IF(HLOOKUP(Template1!$D$4,Score!$C$5:$XFD$83,79,FALSE)=$F$19,"√","")</f>
        <v/>
      </c>
      <c r="D19" s="2"/>
      <c r="E19" s="23" t="s">
        <v>119</v>
      </c>
      <c r="F19" s="20" t="s">
        <v>61</v>
      </c>
      <c r="G19" s="2"/>
      <c r="H19" s="2"/>
      <c r="I19" s="2"/>
      <c r="J19" s="55" t="str">
        <f>IF(HLOOKUP(Template1!$D$4,Score!$C$5:$XFD$83,79,FALSE)=$N$19,"√","")</f>
        <v>√</v>
      </c>
      <c r="K19" s="2"/>
      <c r="L19" s="20" t="s">
        <v>122</v>
      </c>
      <c r="M19" s="13"/>
      <c r="N19" s="20" t="s">
        <v>58</v>
      </c>
      <c r="O19" s="2"/>
      <c r="P19" s="2"/>
      <c r="Q19" s="14"/>
    </row>
    <row r="20" spans="2:17" ht="13.8" thickBot="1" x14ac:dyDescent="0.35">
      <c r="B20" s="12"/>
      <c r="C20" s="2"/>
      <c r="D20" s="2"/>
      <c r="E20" s="23"/>
      <c r="F20" s="20"/>
      <c r="G20" s="2"/>
      <c r="H20" s="2"/>
      <c r="I20" s="2"/>
      <c r="J20" s="2"/>
      <c r="K20" s="2"/>
      <c r="L20" s="2"/>
      <c r="M20" s="2"/>
      <c r="N20" s="2"/>
      <c r="O20" s="2"/>
      <c r="P20" s="2"/>
      <c r="Q20" s="14"/>
    </row>
    <row r="21" spans="2:17" ht="30" customHeight="1" thickBot="1" x14ac:dyDescent="0.35">
      <c r="B21" s="12"/>
      <c r="C21" s="55" t="str">
        <f>IF(HLOOKUP(Template1!$D$4,Score!$C$5:$XFD$83,79,FALSE)=$F$21,"√","")</f>
        <v/>
      </c>
      <c r="D21" s="2"/>
      <c r="E21" s="23" t="s">
        <v>120</v>
      </c>
      <c r="F21" s="20" t="s">
        <v>60</v>
      </c>
      <c r="G21" s="2"/>
      <c r="H21" s="2"/>
      <c r="I21" s="2"/>
      <c r="J21" s="2"/>
      <c r="K21" s="2"/>
      <c r="L21" s="2"/>
      <c r="M21" s="2"/>
      <c r="N21" s="2"/>
      <c r="O21" s="2"/>
      <c r="P21" s="2"/>
      <c r="Q21" s="14"/>
    </row>
    <row r="22" spans="2:17" ht="10.050000000000001" customHeight="1" thickBot="1" x14ac:dyDescent="0.35">
      <c r="B22" s="4"/>
      <c r="C22" s="7"/>
      <c r="D22" s="7"/>
      <c r="E22" s="7"/>
      <c r="F22" s="7"/>
      <c r="G22" s="7"/>
      <c r="H22" s="7"/>
      <c r="I22" s="7"/>
      <c r="J22" s="7"/>
      <c r="K22" s="7"/>
      <c r="L22" s="7"/>
      <c r="M22" s="7"/>
      <c r="N22" s="7"/>
      <c r="O22" s="7"/>
      <c r="P22" s="7"/>
      <c r="Q22" s="17"/>
    </row>
    <row r="23" spans="2:17" ht="10.050000000000001" customHeight="1" x14ac:dyDescent="0.3">
      <c r="B23" s="3"/>
      <c r="C23" s="10"/>
      <c r="D23" s="10"/>
      <c r="E23" s="10"/>
      <c r="F23" s="10"/>
      <c r="G23" s="10"/>
      <c r="H23" s="10"/>
      <c r="I23" s="10"/>
      <c r="J23" s="10"/>
      <c r="K23" s="10"/>
      <c r="L23" s="10"/>
      <c r="M23" s="10"/>
      <c r="N23" s="10"/>
      <c r="O23" s="10"/>
      <c r="P23" s="10"/>
      <c r="Q23" s="11"/>
    </row>
    <row r="24" spans="2:17" x14ac:dyDescent="0.3">
      <c r="B24" s="12"/>
      <c r="C24" s="20" t="s">
        <v>113</v>
      </c>
      <c r="D24" s="20"/>
      <c r="E24" s="2"/>
      <c r="F24" s="2"/>
      <c r="G24" s="2"/>
      <c r="H24" s="2"/>
      <c r="I24" s="2"/>
      <c r="J24" s="2"/>
      <c r="K24" s="2"/>
      <c r="L24" s="2"/>
      <c r="M24" s="2"/>
      <c r="N24" s="2"/>
      <c r="O24" s="2"/>
      <c r="P24" s="2"/>
      <c r="Q24" s="14"/>
    </row>
    <row r="25" spans="2:17" ht="13.8" thickBot="1" x14ac:dyDescent="0.35">
      <c r="B25" s="12"/>
      <c r="C25" s="2"/>
      <c r="D25" s="2"/>
      <c r="E25" s="2"/>
      <c r="F25" s="2"/>
      <c r="G25" s="2"/>
      <c r="H25" s="2"/>
      <c r="I25" s="2"/>
      <c r="J25" s="2"/>
      <c r="K25" s="2"/>
      <c r="L25" s="2"/>
      <c r="M25" s="2"/>
      <c r="N25" s="2"/>
      <c r="O25" s="2"/>
      <c r="P25" s="2"/>
      <c r="Q25" s="14"/>
    </row>
    <row r="26" spans="2:17" ht="30" customHeight="1" thickBot="1" x14ac:dyDescent="0.35">
      <c r="B26" s="12"/>
      <c r="C26" s="55" t="str">
        <f>IF(HLOOKUP(Template1!$D$4,Score!$C$5:$XFD$83,60,FALSE)=$N$19,"√","")</f>
        <v/>
      </c>
      <c r="D26" s="2"/>
      <c r="E26" s="20" t="s">
        <v>114</v>
      </c>
      <c r="F26" s="2"/>
      <c r="G26" s="2"/>
      <c r="H26" s="2"/>
      <c r="I26" s="2"/>
      <c r="J26" s="2"/>
      <c r="K26" s="2"/>
      <c r="L26" s="2"/>
      <c r="M26" s="2"/>
      <c r="N26" s="2"/>
      <c r="O26" s="2"/>
      <c r="P26" s="2"/>
      <c r="Q26" s="14"/>
    </row>
    <row r="27" spans="2:17" ht="13.8" thickBot="1" x14ac:dyDescent="0.35">
      <c r="B27" s="12"/>
      <c r="C27" s="2"/>
      <c r="D27" s="2"/>
      <c r="E27" s="23"/>
      <c r="F27" s="2"/>
      <c r="G27" s="2"/>
      <c r="H27" s="2"/>
      <c r="I27" s="2"/>
      <c r="J27" s="2"/>
      <c r="K27" s="2"/>
      <c r="L27" s="2"/>
      <c r="M27" s="2"/>
      <c r="N27" s="2"/>
      <c r="O27" s="2"/>
      <c r="P27" s="2"/>
      <c r="Q27" s="14"/>
    </row>
    <row r="28" spans="2:17" ht="30" customHeight="1" thickBot="1" x14ac:dyDescent="0.35">
      <c r="B28" s="12"/>
      <c r="C28" s="5"/>
      <c r="D28" s="2"/>
      <c r="E28" s="20" t="s">
        <v>115</v>
      </c>
      <c r="F28" s="2"/>
      <c r="G28" s="2"/>
      <c r="H28" s="2"/>
      <c r="I28" s="2"/>
      <c r="J28" s="2"/>
      <c r="K28" s="7"/>
      <c r="L28" s="7"/>
      <c r="M28" s="7"/>
      <c r="N28" s="7"/>
      <c r="O28" s="7"/>
      <c r="P28" s="7"/>
      <c r="Q28" s="14"/>
    </row>
    <row r="29" spans="2:17" ht="13.8" thickBot="1" x14ac:dyDescent="0.35">
      <c r="B29" s="12"/>
      <c r="C29" s="2"/>
      <c r="D29" s="2"/>
      <c r="E29" s="23"/>
      <c r="F29" s="2"/>
      <c r="G29" s="2"/>
      <c r="H29" s="2"/>
      <c r="I29" s="2"/>
      <c r="J29" s="2"/>
      <c r="K29" s="2"/>
      <c r="L29" s="2"/>
      <c r="M29" s="2"/>
      <c r="N29" s="2"/>
      <c r="O29" s="2"/>
      <c r="P29" s="2"/>
      <c r="Q29" s="14"/>
    </row>
    <row r="30" spans="2:17" ht="30" customHeight="1" thickBot="1" x14ac:dyDescent="0.35">
      <c r="B30" s="12"/>
      <c r="C30" s="5"/>
      <c r="D30" s="2"/>
      <c r="E30" s="20" t="s">
        <v>116</v>
      </c>
      <c r="F30" s="2"/>
      <c r="G30" s="2"/>
      <c r="H30" s="2"/>
      <c r="I30" s="2"/>
      <c r="J30" s="2"/>
      <c r="K30" s="7"/>
      <c r="L30" s="7"/>
      <c r="M30" s="7"/>
      <c r="N30" s="7"/>
      <c r="O30" s="7"/>
      <c r="P30" s="7"/>
      <c r="Q30" s="14"/>
    </row>
    <row r="31" spans="2:17" ht="13.8" thickBot="1" x14ac:dyDescent="0.35">
      <c r="B31" s="12"/>
      <c r="C31" s="2"/>
      <c r="D31" s="2"/>
      <c r="E31" s="23"/>
      <c r="F31" s="2"/>
      <c r="G31" s="2"/>
      <c r="H31" s="2"/>
      <c r="I31" s="2"/>
      <c r="J31" s="2"/>
      <c r="K31" s="2"/>
      <c r="L31" s="2"/>
      <c r="M31" s="2"/>
      <c r="N31" s="2"/>
      <c r="O31" s="2"/>
      <c r="P31" s="2"/>
      <c r="Q31" s="14"/>
    </row>
    <row r="32" spans="2:17" ht="30" customHeight="1" thickBot="1" x14ac:dyDescent="0.35">
      <c r="B32" s="12"/>
      <c r="C32" s="5"/>
      <c r="D32" s="2"/>
      <c r="E32" s="20" t="s">
        <v>117</v>
      </c>
      <c r="F32" s="2"/>
      <c r="G32" s="7"/>
      <c r="H32" s="7"/>
      <c r="I32" s="7"/>
      <c r="J32" s="7"/>
      <c r="K32" s="7"/>
      <c r="L32" s="7"/>
      <c r="M32" s="7"/>
      <c r="N32" s="7"/>
      <c r="O32" s="7"/>
      <c r="P32" s="7"/>
      <c r="Q32" s="14"/>
    </row>
    <row r="33" spans="2:17" ht="30" customHeight="1" thickBot="1" x14ac:dyDescent="0.35">
      <c r="B33" s="12"/>
      <c r="C33" s="2"/>
      <c r="D33" s="2"/>
      <c r="E33" s="2"/>
      <c r="F33" s="2"/>
      <c r="G33" s="7"/>
      <c r="H33" s="7"/>
      <c r="I33" s="7"/>
      <c r="J33" s="7"/>
      <c r="K33" s="7"/>
      <c r="L33" s="7"/>
      <c r="M33" s="7"/>
      <c r="N33" s="7"/>
      <c r="O33" s="7"/>
      <c r="P33" s="7"/>
      <c r="Q33" s="14"/>
    </row>
    <row r="34" spans="2:17" ht="30" customHeight="1" thickBot="1" x14ac:dyDescent="0.35">
      <c r="B34" s="12"/>
      <c r="C34" s="2"/>
      <c r="D34" s="2"/>
      <c r="E34" s="2"/>
      <c r="F34" s="2"/>
      <c r="G34" s="7"/>
      <c r="H34" s="7"/>
      <c r="I34" s="7"/>
      <c r="J34" s="7"/>
      <c r="K34" s="7"/>
      <c r="L34" s="7"/>
      <c r="M34" s="7"/>
      <c r="N34" s="7"/>
      <c r="O34" s="7"/>
      <c r="P34" s="7"/>
      <c r="Q34" s="14"/>
    </row>
    <row r="35" spans="2:17" ht="10.050000000000001" customHeight="1" thickBot="1" x14ac:dyDescent="0.35">
      <c r="B35" s="4"/>
      <c r="C35" s="7"/>
      <c r="D35" s="7"/>
      <c r="E35" s="7"/>
      <c r="F35" s="7"/>
      <c r="G35" s="7"/>
      <c r="H35" s="7"/>
      <c r="I35" s="7"/>
      <c r="J35" s="7"/>
      <c r="K35" s="7"/>
      <c r="L35" s="7"/>
      <c r="M35" s="7"/>
      <c r="N35" s="7"/>
      <c r="O35" s="7"/>
      <c r="P35" s="7"/>
      <c r="Q35" s="17"/>
    </row>
    <row r="36" spans="2:17" ht="10.050000000000001" customHeight="1" x14ac:dyDescent="0.3">
      <c r="B36" s="3"/>
      <c r="C36" s="10"/>
      <c r="D36" s="10"/>
      <c r="E36" s="10"/>
      <c r="F36" s="10"/>
      <c r="G36" s="10"/>
      <c r="H36" s="10"/>
      <c r="I36" s="10"/>
      <c r="J36" s="10"/>
      <c r="K36" s="10"/>
      <c r="L36" s="10"/>
      <c r="M36" s="10"/>
      <c r="N36" s="10"/>
      <c r="O36" s="10"/>
      <c r="P36" s="10"/>
      <c r="Q36" s="11"/>
    </row>
    <row r="37" spans="2:17" x14ac:dyDescent="0.3">
      <c r="B37" s="51"/>
      <c r="C37" s="20" t="s">
        <v>118</v>
      </c>
      <c r="D37" s="2"/>
      <c r="E37" s="2"/>
      <c r="F37" s="2"/>
      <c r="G37" s="2"/>
      <c r="H37" s="2"/>
      <c r="I37" s="2"/>
      <c r="J37" s="2"/>
      <c r="K37" s="20" t="s">
        <v>123</v>
      </c>
      <c r="L37" s="2"/>
      <c r="M37" s="2"/>
      <c r="N37" s="2"/>
      <c r="O37" s="2"/>
      <c r="P37" s="2"/>
      <c r="Q37" s="14"/>
    </row>
    <row r="38" spans="2:17" ht="30" customHeight="1" thickBot="1" x14ac:dyDescent="0.35">
      <c r="B38" s="12"/>
      <c r="C38" s="7"/>
      <c r="D38" s="7"/>
      <c r="E38" s="7"/>
      <c r="F38" s="7"/>
      <c r="G38" s="7"/>
      <c r="H38" s="7"/>
      <c r="I38" s="2"/>
      <c r="J38" s="2"/>
      <c r="K38" s="7"/>
      <c r="L38" s="7"/>
      <c r="M38" s="7"/>
      <c r="N38" s="7"/>
      <c r="O38" s="7"/>
      <c r="P38" s="7"/>
      <c r="Q38" s="14"/>
    </row>
    <row r="39" spans="2:17" ht="30" customHeight="1" thickBot="1" x14ac:dyDescent="0.35">
      <c r="B39" s="12"/>
      <c r="C39" s="7"/>
      <c r="D39" s="7"/>
      <c r="E39" s="7"/>
      <c r="F39" s="7"/>
      <c r="G39" s="7"/>
      <c r="H39" s="7"/>
      <c r="I39" s="2"/>
      <c r="J39" s="2"/>
      <c r="K39" s="7"/>
      <c r="L39" s="7"/>
      <c r="M39" s="7"/>
      <c r="N39" s="7"/>
      <c r="O39" s="7"/>
      <c r="P39" s="7"/>
      <c r="Q39" s="14"/>
    </row>
    <row r="40" spans="2:17" ht="30" customHeight="1" thickBot="1" x14ac:dyDescent="0.35">
      <c r="B40" s="12"/>
      <c r="C40" s="7"/>
      <c r="D40" s="7"/>
      <c r="E40" s="7"/>
      <c r="F40" s="7"/>
      <c r="G40" s="7"/>
      <c r="H40" s="7"/>
      <c r="I40" s="2"/>
      <c r="J40" s="2"/>
      <c r="K40" s="7"/>
      <c r="L40" s="7"/>
      <c r="M40" s="7"/>
      <c r="N40" s="7"/>
      <c r="O40" s="7"/>
      <c r="P40" s="7"/>
      <c r="Q40" s="14"/>
    </row>
    <row r="41" spans="2:17" ht="30" customHeight="1" x14ac:dyDescent="0.3">
      <c r="B41" s="12"/>
      <c r="C41" s="2"/>
      <c r="D41" s="2"/>
      <c r="E41" s="2"/>
      <c r="F41" s="2"/>
      <c r="G41" s="2"/>
      <c r="H41" s="2"/>
      <c r="I41" s="2"/>
      <c r="J41" s="2"/>
      <c r="K41" s="2"/>
      <c r="L41" s="2"/>
      <c r="M41" s="2"/>
      <c r="N41" s="2"/>
      <c r="O41" s="2"/>
      <c r="P41" s="2"/>
      <c r="Q41" s="14"/>
    </row>
    <row r="42" spans="2:17" ht="30" customHeight="1" thickBot="1" x14ac:dyDescent="0.35">
      <c r="B42" s="12"/>
      <c r="C42" s="103" t="str">
        <f>'Setting Page'!B1</f>
        <v>Kau Chai Seng</v>
      </c>
      <c r="D42" s="7"/>
      <c r="E42" s="7"/>
      <c r="F42" s="7"/>
      <c r="G42" s="7"/>
      <c r="H42" s="2"/>
      <c r="I42" s="2"/>
      <c r="J42" s="2"/>
      <c r="K42" s="7"/>
      <c r="L42" s="7"/>
      <c r="M42" s="7"/>
      <c r="N42" s="7"/>
      <c r="O42" s="7"/>
      <c r="P42" s="2"/>
      <c r="Q42" s="14"/>
    </row>
    <row r="43" spans="2:17" x14ac:dyDescent="0.3">
      <c r="B43" s="12"/>
      <c r="C43" s="13" t="s">
        <v>124</v>
      </c>
      <c r="D43" s="2"/>
      <c r="E43" s="2"/>
      <c r="F43" s="2"/>
      <c r="G43" s="2"/>
      <c r="H43" s="2"/>
      <c r="I43" s="2"/>
      <c r="J43" s="2"/>
      <c r="K43" s="13" t="s">
        <v>125</v>
      </c>
      <c r="L43" s="2"/>
      <c r="M43" s="2"/>
      <c r="N43" s="2"/>
      <c r="O43" s="2"/>
      <c r="P43" s="2"/>
      <c r="Q43" s="14"/>
    </row>
    <row r="44" spans="2:17" ht="10.050000000000001" customHeight="1" thickBot="1" x14ac:dyDescent="0.35">
      <c r="B44" s="4"/>
      <c r="C44" s="7"/>
      <c r="D44" s="7"/>
      <c r="E44" s="7"/>
      <c r="F44" s="7"/>
      <c r="G44" s="7"/>
      <c r="H44" s="7"/>
      <c r="I44" s="7"/>
      <c r="J44" s="7"/>
      <c r="K44" s="7"/>
      <c r="L44" s="7"/>
      <c r="M44" s="7"/>
      <c r="N44" s="7"/>
      <c r="O44" s="7"/>
      <c r="P44" s="7"/>
      <c r="Q44" s="17"/>
    </row>
    <row r="45" spans="2:17" ht="10.050000000000001" customHeight="1" x14ac:dyDescent="0.3">
      <c r="B45" s="3"/>
      <c r="C45" s="10"/>
      <c r="D45" s="10"/>
      <c r="E45" s="10"/>
      <c r="F45" s="10"/>
      <c r="G45" s="10"/>
      <c r="H45" s="10"/>
      <c r="I45" s="10"/>
      <c r="J45" s="10"/>
      <c r="K45" s="10"/>
      <c r="L45" s="10"/>
      <c r="M45" s="10"/>
      <c r="N45" s="10"/>
      <c r="O45" s="10"/>
      <c r="P45" s="10"/>
      <c r="Q45" s="11"/>
    </row>
    <row r="46" spans="2:17" x14ac:dyDescent="0.3">
      <c r="B46" s="12"/>
      <c r="C46" s="20" t="s">
        <v>126</v>
      </c>
      <c r="D46" s="2"/>
      <c r="E46" s="2"/>
      <c r="F46" s="2"/>
      <c r="G46" s="2"/>
      <c r="H46" s="2"/>
      <c r="I46" s="2"/>
      <c r="J46" s="2"/>
      <c r="K46" s="2"/>
      <c r="L46" s="2"/>
      <c r="M46" s="2"/>
      <c r="N46" s="2"/>
      <c r="O46" s="2"/>
      <c r="P46" s="2"/>
      <c r="Q46" s="14"/>
    </row>
    <row r="47" spans="2:17" ht="30" customHeight="1" x14ac:dyDescent="0.3">
      <c r="B47" s="12"/>
      <c r="C47" s="2"/>
      <c r="D47" s="2"/>
      <c r="E47" s="2"/>
      <c r="F47" s="2"/>
      <c r="G47" s="2"/>
      <c r="H47" s="2"/>
      <c r="I47" s="2"/>
      <c r="J47" s="2"/>
      <c r="K47" s="2"/>
      <c r="L47" s="2"/>
      <c r="M47" s="2"/>
      <c r="N47" s="2"/>
      <c r="O47" s="2"/>
      <c r="P47" s="2"/>
      <c r="Q47" s="14"/>
    </row>
    <row r="48" spans="2:17" ht="30" customHeight="1" thickBot="1" x14ac:dyDescent="0.35">
      <c r="B48" s="12"/>
      <c r="C48" s="7"/>
      <c r="D48" s="7"/>
      <c r="E48" s="7"/>
      <c r="F48" s="7"/>
      <c r="G48" s="7"/>
      <c r="H48" s="2"/>
      <c r="I48" s="2"/>
      <c r="J48" s="2"/>
      <c r="K48" s="2"/>
      <c r="L48" s="2"/>
      <c r="M48" s="2"/>
      <c r="N48" s="7"/>
      <c r="O48" s="7"/>
      <c r="P48" s="7"/>
      <c r="Q48" s="14"/>
    </row>
    <row r="49" spans="2:17" x14ac:dyDescent="0.3">
      <c r="B49" s="12"/>
      <c r="C49" s="13" t="s">
        <v>127</v>
      </c>
      <c r="D49" s="2"/>
      <c r="E49" s="2"/>
      <c r="F49" s="2"/>
      <c r="G49" s="2"/>
      <c r="H49" s="2"/>
      <c r="I49" s="2"/>
      <c r="J49" s="2"/>
      <c r="K49" s="2"/>
      <c r="L49" s="2"/>
      <c r="M49" s="2"/>
      <c r="N49" s="13" t="s">
        <v>128</v>
      </c>
      <c r="O49" s="2"/>
      <c r="P49" s="2"/>
      <c r="Q49" s="14"/>
    </row>
    <row r="50" spans="2:17" ht="10.050000000000001" customHeight="1" thickBot="1" x14ac:dyDescent="0.35">
      <c r="B50" s="4"/>
      <c r="C50" s="7"/>
      <c r="D50" s="7"/>
      <c r="E50" s="7"/>
      <c r="F50" s="7"/>
      <c r="G50" s="7"/>
      <c r="H50" s="7"/>
      <c r="I50" s="7"/>
      <c r="J50" s="7"/>
      <c r="K50" s="7"/>
      <c r="L50" s="7"/>
      <c r="M50" s="7"/>
      <c r="N50" s="7"/>
      <c r="O50" s="7"/>
      <c r="P50" s="7"/>
      <c r="Q50" s="17"/>
    </row>
  </sheetData>
  <mergeCells count="1">
    <mergeCell ref="B5:Q10"/>
  </mergeCell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Setting Page</vt:lpstr>
      <vt:lpstr>Name List</vt:lpstr>
      <vt:lpstr>Score</vt:lpstr>
      <vt:lpstr>Comment</vt:lpstr>
      <vt:lpstr>CommentPhrase</vt:lpstr>
      <vt:lpstr>PrintPage1</vt:lpstr>
      <vt:lpstr>PrintPage2</vt:lpstr>
      <vt:lpstr>Template1</vt:lpstr>
      <vt:lpstr>Template2</vt:lpstr>
      <vt:lpstr>Template3</vt:lpstr>
      <vt:lpstr>Template4</vt:lpstr>
      <vt:lpstr>PrintPage1!Print_Area</vt:lpstr>
      <vt:lpstr>PrintPage2!Print_Area</vt:lpstr>
      <vt:lpstr>Template1!Print_Area</vt:lpstr>
      <vt:lpstr>Template2!Print_Area</vt:lpstr>
      <vt:lpstr>Template3!Print_Area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KOK WEI KHONG XIQQU</dc:creator>
  <cp:lastModifiedBy>KOK WEI KHONG XIQQU</cp:lastModifiedBy>
  <cp:lastPrinted>2021-05-17T11:48:26Z</cp:lastPrinted>
  <dcterms:created xsi:type="dcterms:W3CDTF">2015-06-05T18:17:20Z</dcterms:created>
  <dcterms:modified xsi:type="dcterms:W3CDTF">2023-03-30T06:24:17Z</dcterms:modified>
</cp:coreProperties>
</file>